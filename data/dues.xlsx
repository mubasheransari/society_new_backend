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22755" windowHeight="9765"/>
  </bookViews>
  <sheets>
    <sheet name="Dec 25" sheetId="2" r:id="rId1"/>
    <sheet name="Jan 26" sheetId="1" r:id="rId2"/>
  </sheets>
  <definedNames>
    <definedName name="_xlnm._FilterDatabase" localSheetId="0" hidden="1">'Dec 25'!$D$1:$D$65</definedName>
    <definedName name="_xlnm.Print_Area" localSheetId="0">'Dec 25'!$A$1:$I$21</definedName>
    <definedName name="_xlnm.Print_Area" localSheetId="1">'Jan 26'!$A$1:$J$267</definedName>
  </definedNames>
  <calcPr calcId="144525"/>
</workbook>
</file>

<file path=xl/calcChain.xml><?xml version="1.0" encoding="utf-8"?>
<calcChain xmlns="http://schemas.openxmlformats.org/spreadsheetml/2006/main">
  <c r="G191" i="1" l="1"/>
  <c r="G249" i="1"/>
  <c r="G248" i="1"/>
  <c r="G10" i="1" l="1"/>
  <c r="F21" i="2" l="1"/>
</calcChain>
</file>

<file path=xl/sharedStrings.xml><?xml version="1.0" encoding="utf-8"?>
<sst xmlns="http://schemas.openxmlformats.org/spreadsheetml/2006/main" count="1319" uniqueCount="748">
  <si>
    <t>Sr. No.</t>
  </si>
  <si>
    <t>Plot No.</t>
  </si>
  <si>
    <t>Owner Name</t>
  </si>
  <si>
    <t>Dues Status</t>
  </si>
  <si>
    <t>Amount Paid (Rs.)</t>
  </si>
  <si>
    <t>P/O No.</t>
  </si>
  <si>
    <t>LS-178</t>
  </si>
  <si>
    <t>B-345</t>
  </si>
  <si>
    <t>Sajjad Hussain</t>
  </si>
  <si>
    <t>C-297</t>
  </si>
  <si>
    <t>Muhammad Abid Nawab</t>
  </si>
  <si>
    <t>Balance if any</t>
  </si>
  <si>
    <t xml:space="preserve">Farhan Ali </t>
  </si>
  <si>
    <t>Cleared</t>
  </si>
  <si>
    <t>Partially Paid</t>
  </si>
  <si>
    <t>NILL</t>
  </si>
  <si>
    <t>E-204</t>
  </si>
  <si>
    <t>Syed Asif Ali</t>
  </si>
  <si>
    <t>A-684</t>
  </si>
  <si>
    <t>Imran Khan</t>
  </si>
  <si>
    <t>C-567</t>
  </si>
  <si>
    <t>Imran Subhan</t>
  </si>
  <si>
    <t>A-399</t>
  </si>
  <si>
    <t>Syed Noor Ahmed</t>
  </si>
  <si>
    <t>B-347</t>
  </si>
  <si>
    <t>Mirza Anees Baig Chugtai</t>
  </si>
  <si>
    <t>02996014</t>
  </si>
  <si>
    <t>06522737</t>
  </si>
  <si>
    <t>29181329</t>
  </si>
  <si>
    <t>29915668</t>
  </si>
  <si>
    <t>17989919</t>
  </si>
  <si>
    <t>PO R Date</t>
  </si>
  <si>
    <t>03095518</t>
  </si>
  <si>
    <t>A-380</t>
  </si>
  <si>
    <r>
      <t xml:space="preserve">Total Dues Rs. </t>
    </r>
    <r>
      <rPr>
        <b/>
        <i/>
        <sz val="12"/>
        <color theme="0"/>
        <rFont val="Arial"/>
        <family val="2"/>
        <scheme val="minor"/>
      </rPr>
      <t>(Dec 2025)</t>
    </r>
  </si>
  <si>
    <t>0189.6306721</t>
  </si>
  <si>
    <t>Mrs. Shamim Akhtar</t>
  </si>
  <si>
    <t>E-155</t>
  </si>
  <si>
    <t>Muhammad Sarfaraz Alam</t>
  </si>
  <si>
    <t>Mukhtar shah</t>
  </si>
  <si>
    <t>C-483</t>
  </si>
  <si>
    <t>Muhammad Sohail Siddiqui</t>
  </si>
  <si>
    <t>00020685</t>
  </si>
  <si>
    <t>D-447</t>
  </si>
  <si>
    <t>Muhammad Ayub</t>
  </si>
  <si>
    <t>B-615</t>
  </si>
  <si>
    <t>Rubina Yasmeen</t>
  </si>
  <si>
    <t>29915673</t>
  </si>
  <si>
    <t>9983.06373451</t>
  </si>
  <si>
    <t>E-176/A</t>
  </si>
  <si>
    <t>00003592</t>
  </si>
  <si>
    <t>0189.6306707</t>
  </si>
  <si>
    <t>0189.6306708</t>
  </si>
  <si>
    <t>0189.6306716</t>
  </si>
  <si>
    <t>12803187</t>
  </si>
  <si>
    <t>0000001128</t>
  </si>
  <si>
    <t>D-452</t>
  </si>
  <si>
    <t>9928.2328988</t>
  </si>
  <si>
    <t>CI-05</t>
  </si>
  <si>
    <t>Muhammad Nazim</t>
  </si>
  <si>
    <t>C-586</t>
  </si>
  <si>
    <t>Mrs. Kosar Bano</t>
  </si>
  <si>
    <t>Shamsul Haque</t>
  </si>
  <si>
    <t xml:space="preserve">Lucknow Society – Dues &amp; Payment Register (JANUARY 2026) </t>
  </si>
  <si>
    <t>CI-71</t>
  </si>
  <si>
    <t>Nill</t>
  </si>
  <si>
    <t>B-608</t>
  </si>
  <si>
    <t xml:space="preserve">Mrs. Bushra </t>
  </si>
  <si>
    <t>0189.6306717</t>
  </si>
  <si>
    <t>0189.6306718</t>
  </si>
  <si>
    <t>9901.6294176</t>
  </si>
  <si>
    <t>A-687</t>
  </si>
  <si>
    <t>Safdar Hussain</t>
  </si>
  <si>
    <t>29176754</t>
  </si>
  <si>
    <t>Total for Dec</t>
  </si>
  <si>
    <t>Mrs. Faiza</t>
  </si>
  <si>
    <t>B-614</t>
  </si>
  <si>
    <t>Muhammad Riyaz</t>
  </si>
  <si>
    <t>1285241</t>
  </si>
  <si>
    <t>NOC</t>
  </si>
  <si>
    <t>C-494</t>
  </si>
  <si>
    <t>9938.2644584</t>
  </si>
  <si>
    <t>Adnan Ahmed</t>
  </si>
  <si>
    <t>A-691</t>
  </si>
  <si>
    <t>Shakil Khan</t>
  </si>
  <si>
    <t>19614434</t>
  </si>
  <si>
    <t>C-572</t>
  </si>
  <si>
    <t>01178148</t>
  </si>
  <si>
    <t>Mrs. Khursheeda</t>
  </si>
  <si>
    <t>A-416</t>
  </si>
  <si>
    <t>Najam Hussain</t>
  </si>
  <si>
    <t>29912601</t>
  </si>
  <si>
    <t xml:space="preserve">Lucknow Society – Cutting - ST-  Dues &amp; Payment Register (JANUARY 2026) </t>
  </si>
  <si>
    <t>A-721</t>
  </si>
  <si>
    <t>Mrs. Uzma Amir</t>
  </si>
  <si>
    <t>29179884</t>
  </si>
  <si>
    <t>Tenent Name</t>
  </si>
  <si>
    <r>
      <t xml:space="preserve">Total Dues Rs. </t>
    </r>
    <r>
      <rPr>
        <b/>
        <i/>
        <sz val="12"/>
        <color rgb="FFFFFFFF"/>
        <rFont val="Arial"/>
        <family val="2"/>
      </rPr>
      <t>(Dec 2025)</t>
    </r>
  </si>
  <si>
    <t>C-290</t>
  </si>
  <si>
    <t>Ahmed Raza</t>
  </si>
  <si>
    <t>Muhammad Aslam</t>
  </si>
  <si>
    <t xml:space="preserve">Cleared </t>
  </si>
  <si>
    <t>9964.2654978</t>
  </si>
  <si>
    <t>CI-22</t>
  </si>
  <si>
    <t>Muhammad Imran Qureshi</t>
  </si>
  <si>
    <t>Transfer</t>
  </si>
  <si>
    <t>12852448</t>
  </si>
  <si>
    <t>LS-85</t>
  </si>
  <si>
    <t>Shehzad Qureshi</t>
  </si>
  <si>
    <t>10799906</t>
  </si>
  <si>
    <t>B-333</t>
  </si>
  <si>
    <t>Shahida Nafees</t>
  </si>
  <si>
    <t>15629216</t>
  </si>
  <si>
    <t xml:space="preserve">LUCKNOW </t>
  </si>
  <si>
    <t>A-648</t>
  </si>
  <si>
    <t>Javed Akhter</t>
  </si>
  <si>
    <t>2433939905</t>
  </si>
  <si>
    <t>A-674</t>
  </si>
  <si>
    <t xml:space="preserve"> Ghulam Ghous</t>
  </si>
  <si>
    <t>80165335</t>
  </si>
  <si>
    <t>C-538</t>
  </si>
  <si>
    <t>19821015</t>
  </si>
  <si>
    <t>19821019</t>
  </si>
  <si>
    <t>Mrs. Beenish Alamgir</t>
  </si>
  <si>
    <t>C-531</t>
  </si>
  <si>
    <t>CLEARED TILL DEC 2026</t>
  </si>
  <si>
    <t>00019056</t>
  </si>
  <si>
    <t>Imran Ali</t>
  </si>
  <si>
    <t>CI-28</t>
  </si>
  <si>
    <t>30191088</t>
  </si>
  <si>
    <t>A-679</t>
  </si>
  <si>
    <t>18600186</t>
  </si>
  <si>
    <t>C-510</t>
  </si>
  <si>
    <t>29166192</t>
  </si>
  <si>
    <t>C-545</t>
  </si>
  <si>
    <t>29179902</t>
  </si>
  <si>
    <t>12852447</t>
  </si>
  <si>
    <t>C-500</t>
  </si>
  <si>
    <t>45539364</t>
  </si>
  <si>
    <t>Naseer Ali</t>
  </si>
  <si>
    <t xml:space="preserve"> Azam Parvez</t>
  </si>
  <si>
    <t xml:space="preserve"> Mrs. Yasmeen Naz</t>
  </si>
  <si>
    <t>Syed Zubair Ahmed</t>
  </si>
  <si>
    <t>Mrs. Naseem Bano</t>
  </si>
  <si>
    <t>CI-53</t>
  </si>
  <si>
    <t>06398862</t>
  </si>
  <si>
    <t>06398861</t>
  </si>
  <si>
    <t>Muhammad Salman</t>
  </si>
  <si>
    <t>A-636</t>
  </si>
  <si>
    <t>14906592</t>
  </si>
  <si>
    <t>Mrs. Sufia</t>
  </si>
  <si>
    <t>B-619</t>
  </si>
  <si>
    <t>Kamran</t>
  </si>
  <si>
    <t>12852479</t>
  </si>
  <si>
    <t>A-365</t>
  </si>
  <si>
    <t>Syed Arshad Ali</t>
  </si>
  <si>
    <t>0189.6306762</t>
  </si>
  <si>
    <t>B-342</t>
  </si>
  <si>
    <t>Dr. Siddique</t>
  </si>
  <si>
    <t>18600187</t>
  </si>
  <si>
    <t>C-496</t>
  </si>
  <si>
    <t>Zia ul Haq</t>
  </si>
  <si>
    <t>1031.2759166</t>
  </si>
  <si>
    <t>A-672</t>
  </si>
  <si>
    <t>29308117</t>
  </si>
  <si>
    <t>B-353</t>
  </si>
  <si>
    <t>29175321</t>
  </si>
  <si>
    <t>F-11</t>
  </si>
  <si>
    <t>29912596</t>
  </si>
  <si>
    <t>C-598</t>
  </si>
  <si>
    <t>Umair Bin Zaheer</t>
  </si>
  <si>
    <t>29179706</t>
  </si>
  <si>
    <t>Shazia Khatoon</t>
  </si>
  <si>
    <t>Ali Hussain</t>
  </si>
  <si>
    <t>Shafiq Ahmed</t>
  </si>
  <si>
    <t>C-491</t>
  </si>
  <si>
    <t>00158151</t>
  </si>
  <si>
    <t>00158152</t>
  </si>
  <si>
    <t>new transfer</t>
  </si>
  <si>
    <t>1986780299</t>
  </si>
  <si>
    <t>LS-195</t>
  </si>
  <si>
    <t>0189.6306760</t>
  </si>
  <si>
    <t>Muhammad Atif Khan</t>
  </si>
  <si>
    <t>A-368</t>
  </si>
  <si>
    <t>Shabbir Ahmed Minhas</t>
  </si>
  <si>
    <t>9901.6294215</t>
  </si>
  <si>
    <t>E-138</t>
  </si>
  <si>
    <t>110691924</t>
  </si>
  <si>
    <t>Muhammad Ibrahim</t>
  </si>
  <si>
    <t>E-153</t>
  </si>
  <si>
    <t>Muhammad Shamim Akhtar</t>
  </si>
  <si>
    <t>19863542</t>
  </si>
  <si>
    <t>BTK005992</t>
  </si>
  <si>
    <t>C-497</t>
  </si>
  <si>
    <t>Khursheed Ahmed</t>
  </si>
  <si>
    <t>E-182</t>
  </si>
  <si>
    <t>Danish Qureshi</t>
  </si>
  <si>
    <t>D-213</t>
  </si>
  <si>
    <t>8459104</t>
  </si>
  <si>
    <t>M. Qayoom</t>
  </si>
  <si>
    <t>NIll</t>
  </si>
  <si>
    <t>11221989</t>
  </si>
  <si>
    <t>C-308</t>
  </si>
  <si>
    <t>Syed Jameel</t>
  </si>
  <si>
    <t>4944214</t>
  </si>
  <si>
    <t>cheque</t>
  </si>
  <si>
    <t>LS-206</t>
  </si>
  <si>
    <t>Nasir khan</t>
  </si>
  <si>
    <t>10398666</t>
  </si>
  <si>
    <t>A-398</t>
  </si>
  <si>
    <t>15514423</t>
  </si>
  <si>
    <t>15514422</t>
  </si>
  <si>
    <t>C-292</t>
  </si>
  <si>
    <t>0189.6306765</t>
  </si>
  <si>
    <t>C-521</t>
  </si>
  <si>
    <t>9938.2644646</t>
  </si>
  <si>
    <t>F-127/7</t>
  </si>
  <si>
    <t>29523275</t>
  </si>
  <si>
    <t>A-719</t>
  </si>
  <si>
    <t>12482685</t>
  </si>
  <si>
    <t>B-354</t>
  </si>
  <si>
    <t>1991705476</t>
  </si>
  <si>
    <t>B-626</t>
  </si>
  <si>
    <t>12852483</t>
  </si>
  <si>
    <t>CI-63</t>
  </si>
  <si>
    <t>A-638</t>
  </si>
  <si>
    <t>12454659</t>
  </si>
  <si>
    <t>LS-197</t>
  </si>
  <si>
    <t>9909.2549350</t>
  </si>
  <si>
    <t>LS-143</t>
  </si>
  <si>
    <t>12454660</t>
  </si>
  <si>
    <t>A-678</t>
  </si>
  <si>
    <t>12852489</t>
  </si>
  <si>
    <t>A-654</t>
  </si>
  <si>
    <t>27199717</t>
  </si>
  <si>
    <t>C-533</t>
  </si>
  <si>
    <t>18515998</t>
  </si>
  <si>
    <t>A-637</t>
  </si>
  <si>
    <t>12454661</t>
  </si>
  <si>
    <t>E-199/2</t>
  </si>
  <si>
    <t>B-335</t>
  </si>
  <si>
    <t>12852494</t>
  </si>
  <si>
    <t>Shamim Aslam</t>
  </si>
  <si>
    <t>LS-183</t>
  </si>
  <si>
    <t>BTK005993</t>
  </si>
  <si>
    <t>A-394</t>
  </si>
  <si>
    <t>29176797</t>
  </si>
  <si>
    <t>A-410</t>
  </si>
  <si>
    <t>0189.6306770</t>
  </si>
  <si>
    <t>Muhammad Jawaid Zafar</t>
  </si>
  <si>
    <t>New Transfer</t>
  </si>
  <si>
    <t>Muhammad Raees</t>
  </si>
  <si>
    <t>(7). Naeem Ansari</t>
  </si>
  <si>
    <t>Bashir Ahmed</t>
  </si>
  <si>
    <t xml:space="preserve"> Tahira Begum</t>
  </si>
  <si>
    <t>Akhlaq Ahmed Khan</t>
  </si>
  <si>
    <t>Muhammad Asif</t>
  </si>
  <si>
    <t xml:space="preserve"> Mirza Adnan Baig</t>
  </si>
  <si>
    <t xml:space="preserve"> Muhammad Wasim</t>
  </si>
  <si>
    <t xml:space="preserve"> M. Asif Iqbal</t>
  </si>
  <si>
    <t>M. Asif Iqbal</t>
  </si>
  <si>
    <t>Mrs. Rabis-UL-Jehan</t>
  </si>
  <si>
    <t>Mrs. Zaibi Saleem</t>
  </si>
  <si>
    <t>Masood Khan</t>
  </si>
  <si>
    <t>Zahid Khan</t>
  </si>
  <si>
    <t>Muhammad Qasim</t>
  </si>
  <si>
    <t>Muhammad Mustaqeem Khan</t>
  </si>
  <si>
    <t xml:space="preserve"> Ejaz Ahmed</t>
  </si>
  <si>
    <t>D-235</t>
  </si>
  <si>
    <t>9938.2644629</t>
  </si>
  <si>
    <t>C-590</t>
  </si>
  <si>
    <t>29157552</t>
  </si>
  <si>
    <t>LS-196</t>
  </si>
  <si>
    <t>18362667</t>
  </si>
  <si>
    <t>18362643</t>
  </si>
  <si>
    <t>Sammi Mustafa</t>
  </si>
  <si>
    <t>Tariq Mehmood</t>
  </si>
  <si>
    <t>Mrs. Parveen Tariq</t>
  </si>
  <si>
    <t>CI-39</t>
  </si>
  <si>
    <t>BBB12314152</t>
  </si>
  <si>
    <t>Iqtidar Ahmed</t>
  </si>
  <si>
    <t>CI-36</t>
  </si>
  <si>
    <t>18290791</t>
  </si>
  <si>
    <t>F-128</t>
  </si>
  <si>
    <t>0090620682</t>
  </si>
  <si>
    <t>A-685</t>
  </si>
  <si>
    <t>19845736</t>
  </si>
  <si>
    <t>LS-211</t>
  </si>
  <si>
    <t>19845737</t>
  </si>
  <si>
    <t>CI-61</t>
  </si>
  <si>
    <t>19845738</t>
  </si>
  <si>
    <t>A-662</t>
  </si>
  <si>
    <t>12482752</t>
  </si>
  <si>
    <t xml:space="preserve"> Irfan Ahmed</t>
  </si>
  <si>
    <t>Muhammad Abid</t>
  </si>
  <si>
    <t>Muhammed Amir</t>
  </si>
  <si>
    <t>Sher Rasool</t>
  </si>
  <si>
    <t xml:space="preserve"> Muhammed Adil</t>
  </si>
  <si>
    <t xml:space="preserve"> Muhammad Asim   </t>
  </si>
  <si>
    <t>C-304</t>
  </si>
  <si>
    <t xml:space="preserve">Syed Javed Ali </t>
  </si>
  <si>
    <t xml:space="preserve"> Shahzad Ali</t>
  </si>
  <si>
    <t>12482786</t>
  </si>
  <si>
    <t>Cheque</t>
  </si>
  <si>
    <t>LS-84</t>
  </si>
  <si>
    <t>Samia Khanim Mir</t>
  </si>
  <si>
    <t>7468419</t>
  </si>
  <si>
    <t>F-125/1</t>
  </si>
  <si>
    <t>A-639</t>
  </si>
  <si>
    <t>19858828</t>
  </si>
  <si>
    <t>C-536</t>
  </si>
  <si>
    <t>11608943</t>
  </si>
  <si>
    <t>CI-66</t>
  </si>
  <si>
    <t>29179942</t>
  </si>
  <si>
    <t xml:space="preserve"> Muhammad Khursheed</t>
  </si>
  <si>
    <t xml:space="preserve"> (1). Mr. Muhammad Arif
(2). Mr. Muhammad Zafar</t>
  </si>
  <si>
    <t>Mrs. Naheed Begum</t>
  </si>
  <si>
    <t>C-318</t>
  </si>
  <si>
    <t xml:space="preserve">Muhammad Ahsan </t>
  </si>
  <si>
    <t>Rs 20,000.00</t>
  </si>
  <si>
    <t>24 80532128</t>
  </si>
  <si>
    <t>C-264</t>
  </si>
  <si>
    <t>12482782</t>
  </si>
  <si>
    <t>C-577</t>
  </si>
  <si>
    <t>128852512</t>
  </si>
  <si>
    <t>9938.2644676</t>
  </si>
  <si>
    <t>LS-109</t>
  </si>
  <si>
    <t>06522766</t>
  </si>
  <si>
    <t>C-296</t>
  </si>
  <si>
    <t>12852513</t>
  </si>
  <si>
    <t>C-532</t>
  </si>
  <si>
    <t>12852505</t>
  </si>
  <si>
    <t>A-401</t>
  </si>
  <si>
    <t>29166198</t>
  </si>
  <si>
    <t>F-132/3</t>
  </si>
  <si>
    <t>0189.6306787</t>
  </si>
  <si>
    <t>A-658</t>
  </si>
  <si>
    <t>9938.2644689</t>
  </si>
  <si>
    <t>LS-141</t>
  </si>
  <si>
    <t>0189.6306798</t>
  </si>
  <si>
    <t xml:space="preserve"> Aijaz Khan,</t>
  </si>
  <si>
    <t>Nafees Akhter</t>
  </si>
  <si>
    <t xml:space="preserve"> Nadeem Ahmed</t>
  </si>
  <si>
    <t xml:space="preserve"> Mrs. Yasmeen</t>
  </si>
  <si>
    <t>Mrs. Syeda Ghazala Begum</t>
  </si>
  <si>
    <t>Mrs. Shazia Maqsood</t>
  </si>
  <si>
    <t>(1) Mr. Saqib Farooq   
(2) Mr. Afaq Farooq</t>
  </si>
  <si>
    <t>(1). Mr. Muhammad Shahid (2). Mrs. Farzana Sagheer</t>
  </si>
  <si>
    <t>Fateh Noor</t>
  </si>
  <si>
    <t>(3). Mr. Muhammad Atif Khan</t>
  </si>
  <si>
    <t>F-125/4</t>
  </si>
  <si>
    <t>0135.6572277</t>
  </si>
  <si>
    <t>F-125/2</t>
  </si>
  <si>
    <t>19859051</t>
  </si>
  <si>
    <t>F-127/3</t>
  </si>
  <si>
    <t>11429074</t>
  </si>
  <si>
    <t>A-404</t>
  </si>
  <si>
    <t>12657429</t>
  </si>
  <si>
    <t>C-578</t>
  </si>
  <si>
    <t>0109.2805611</t>
  </si>
  <si>
    <t>Abdul Jabbar</t>
  </si>
  <si>
    <t>Muhammad Ejaz</t>
  </si>
  <si>
    <t>Muhammad Saleem Qureshi</t>
  </si>
  <si>
    <t xml:space="preserve"> Muhammad Younus</t>
  </si>
  <si>
    <t>Muhammad Ishtiaq</t>
  </si>
  <si>
    <t>9963.6541786</t>
  </si>
  <si>
    <t>29998594</t>
  </si>
  <si>
    <t>C-302</t>
  </si>
  <si>
    <t>06306790</t>
  </si>
  <si>
    <t>Jamshed Anjum</t>
  </si>
  <si>
    <t>C-319</t>
  </si>
  <si>
    <t>06796812</t>
  </si>
  <si>
    <t>Rahat Khan</t>
  </si>
  <si>
    <t>F-113</t>
  </si>
  <si>
    <t>12605571</t>
  </si>
  <si>
    <t>12605572</t>
  </si>
  <si>
    <t>C-298</t>
  </si>
  <si>
    <t>29179954</t>
  </si>
  <si>
    <t>E-200</t>
  </si>
  <si>
    <t>12852571</t>
  </si>
  <si>
    <t>C-548</t>
  </si>
  <si>
    <t>12852516</t>
  </si>
  <si>
    <t>E-196</t>
  </si>
  <si>
    <t>12852520</t>
  </si>
  <si>
    <t>C-561</t>
  </si>
  <si>
    <t>12482865</t>
  </si>
  <si>
    <t>C-547</t>
  </si>
  <si>
    <t>10314296</t>
  </si>
  <si>
    <t>C-565</t>
  </si>
  <si>
    <t>18600290</t>
  </si>
  <si>
    <t>F-53</t>
  </si>
  <si>
    <t>06306786</t>
  </si>
  <si>
    <t>B-350</t>
  </si>
  <si>
    <t>0264476</t>
  </si>
  <si>
    <t>E-176</t>
  </si>
  <si>
    <t>02805495</t>
  </si>
  <si>
    <t>Tahir Qayum Khan</t>
  </si>
  <si>
    <t>Rubina Ali</t>
  </si>
  <si>
    <t xml:space="preserve">(1). Muhammad Asif               (2). Muhammad Murtaza </t>
  </si>
  <si>
    <t>C-596</t>
  </si>
  <si>
    <t>29181418</t>
  </si>
  <si>
    <t xml:space="preserve"> Abdul Ghaffar Khan</t>
  </si>
  <si>
    <t xml:space="preserve"> Muhammad Hussain</t>
  </si>
  <si>
    <t>19836227</t>
  </si>
  <si>
    <t>11608949</t>
  </si>
  <si>
    <t>LS-49</t>
  </si>
  <si>
    <t>C-518</t>
  </si>
  <si>
    <t>Shakeel Ahmed</t>
  </si>
  <si>
    <t>Ishrat Ali Qureshi</t>
  </si>
  <si>
    <t>Aqeel Ahmed</t>
  </si>
  <si>
    <t>Abdul Waheed</t>
  </si>
  <si>
    <t>Muhammad Tasleem Akhter</t>
  </si>
  <si>
    <t xml:space="preserve"> Muhammad Sadqain</t>
  </si>
  <si>
    <t>Naseem Bano</t>
  </si>
  <si>
    <t>(1). Qasim Ali
(2). Asim Ali</t>
  </si>
  <si>
    <t xml:space="preserve"> Naeem Ullah Khan</t>
  </si>
  <si>
    <t>C-295/9</t>
  </si>
  <si>
    <t>13266972</t>
  </si>
  <si>
    <t>C-255</t>
  </si>
  <si>
    <t>02984968</t>
  </si>
  <si>
    <t>LS-17</t>
  </si>
  <si>
    <t>REM</t>
  </si>
  <si>
    <t>02984969</t>
  </si>
  <si>
    <t xml:space="preserve"> Hanif Ahmed</t>
  </si>
  <si>
    <t>Shama Shahab</t>
  </si>
  <si>
    <t>Muhammad Shahab Uddin Khan Ghori</t>
  </si>
  <si>
    <t>29314038</t>
  </si>
  <si>
    <t>A-364</t>
  </si>
  <si>
    <t>B-355</t>
  </si>
  <si>
    <t>9938.2644717</t>
  </si>
  <si>
    <t>Yameen</t>
  </si>
  <si>
    <t>Mrs. Saeeda Begum</t>
  </si>
  <si>
    <t>C-499</t>
  </si>
  <si>
    <t>28672662</t>
  </si>
  <si>
    <t>LS-174</t>
  </si>
  <si>
    <t>01178169</t>
  </si>
  <si>
    <t>LS-215</t>
  </si>
  <si>
    <t>11765515</t>
  </si>
  <si>
    <t>D-448</t>
  </si>
  <si>
    <t>11608955</t>
  </si>
  <si>
    <t>C-564</t>
  </si>
  <si>
    <t>00764935</t>
  </si>
  <si>
    <t>02414754</t>
  </si>
  <si>
    <t>CI-18</t>
  </si>
  <si>
    <t>03052226</t>
  </si>
  <si>
    <t>LS-185</t>
  </si>
  <si>
    <t>29179962</t>
  </si>
  <si>
    <t>B-627</t>
  </si>
  <si>
    <t>07877805</t>
  </si>
  <si>
    <t>C-268</t>
  </si>
  <si>
    <t>11429076</t>
  </si>
  <si>
    <t>F-177</t>
  </si>
  <si>
    <t>0000007</t>
  </si>
  <si>
    <t>A-698</t>
  </si>
  <si>
    <t>19845831</t>
  </si>
  <si>
    <t>C-254</t>
  </si>
  <si>
    <t>19764917</t>
  </si>
  <si>
    <t>F-124/1</t>
  </si>
  <si>
    <t>7468430</t>
  </si>
  <si>
    <t>LS-91</t>
  </si>
  <si>
    <t>12803341</t>
  </si>
  <si>
    <t>11468124</t>
  </si>
  <si>
    <t>A-632</t>
  </si>
  <si>
    <t>7598639</t>
  </si>
  <si>
    <t>C-284</t>
  </si>
  <si>
    <t>BC 06796816</t>
  </si>
  <si>
    <t>BC 06796817</t>
  </si>
  <si>
    <t>E-190</t>
  </si>
  <si>
    <t>C-603/1</t>
  </si>
  <si>
    <t>6190958</t>
  </si>
  <si>
    <t>LS-140</t>
  </si>
  <si>
    <t>12469454</t>
  </si>
  <si>
    <t>D-458</t>
  </si>
  <si>
    <t>06306828</t>
  </si>
  <si>
    <t>A-400</t>
  </si>
  <si>
    <t>06306825</t>
  </si>
  <si>
    <t>A-663</t>
  </si>
  <si>
    <t>00020723</t>
  </si>
  <si>
    <t>A-699</t>
  </si>
  <si>
    <t>12852531</t>
  </si>
  <si>
    <t>CI-14</t>
  </si>
  <si>
    <t>29176841</t>
  </si>
  <si>
    <t>LS-101</t>
  </si>
  <si>
    <t>17990324</t>
  </si>
  <si>
    <t>A-413</t>
  </si>
  <si>
    <t>18471658</t>
  </si>
  <si>
    <t>C-534</t>
  </si>
  <si>
    <t>4980131</t>
  </si>
  <si>
    <t>B-625</t>
  </si>
  <si>
    <t>10799967</t>
  </si>
  <si>
    <t>C-581</t>
  </si>
  <si>
    <t>29896603</t>
  </si>
  <si>
    <t>C-571</t>
  </si>
  <si>
    <t>29913621</t>
  </si>
  <si>
    <t>LS-147</t>
  </si>
  <si>
    <t>06522770</t>
  </si>
  <si>
    <t>LS-176</t>
  </si>
  <si>
    <t>C-559</t>
  </si>
  <si>
    <t>29913620</t>
  </si>
  <si>
    <t>LS-104</t>
  </si>
  <si>
    <t>1061043127</t>
  </si>
  <si>
    <t>1061043128</t>
  </si>
  <si>
    <t>E-160</t>
  </si>
  <si>
    <t>CI-47</t>
  </si>
  <si>
    <t>03095538</t>
  </si>
  <si>
    <t>F-83/A</t>
  </si>
  <si>
    <t>00101592</t>
  </si>
  <si>
    <t>C-543</t>
  </si>
  <si>
    <t>77564184</t>
  </si>
  <si>
    <t>A-631</t>
  </si>
  <si>
    <t>11468122</t>
  </si>
  <si>
    <t>C-247</t>
  </si>
  <si>
    <t>19771960</t>
  </si>
  <si>
    <t>D-242</t>
  </si>
  <si>
    <t>19771959</t>
  </si>
  <si>
    <t xml:space="preserve"> Ahmed Ali</t>
  </si>
  <si>
    <t>B-620</t>
  </si>
  <si>
    <t>110555708</t>
  </si>
  <si>
    <t>A-650</t>
  </si>
  <si>
    <t>01278292</t>
  </si>
  <si>
    <t>A-673</t>
  </si>
  <si>
    <t>9938.2644779</t>
  </si>
  <si>
    <t>A-649</t>
  </si>
  <si>
    <t>12852541</t>
  </si>
  <si>
    <t>LS-56</t>
  </si>
  <si>
    <t>80180183</t>
  </si>
  <si>
    <t>C-540</t>
  </si>
  <si>
    <t>06306832</t>
  </si>
  <si>
    <t>F-125/7</t>
  </si>
  <si>
    <t>00003637</t>
  </si>
  <si>
    <t>A-629</t>
  </si>
  <si>
    <t>0030296</t>
  </si>
  <si>
    <t>E-183</t>
  </si>
  <si>
    <t>0000000103</t>
  </si>
  <si>
    <t>C-569</t>
  </si>
  <si>
    <t>13 87289012</t>
  </si>
  <si>
    <t>C-509</t>
  </si>
  <si>
    <t>18600316</t>
  </si>
  <si>
    <t>B-331</t>
  </si>
  <si>
    <t>7858366</t>
  </si>
  <si>
    <t>11435580</t>
  </si>
  <si>
    <t>C-250</t>
  </si>
  <si>
    <t>C-265</t>
  </si>
  <si>
    <t>11776677</t>
  </si>
  <si>
    <t>C-592</t>
  </si>
  <si>
    <t>06676626</t>
  </si>
  <si>
    <t>D-450</t>
  </si>
  <si>
    <t>29179986</t>
  </si>
  <si>
    <t>A-375</t>
  </si>
  <si>
    <t>1854966374</t>
  </si>
  <si>
    <t>F-22</t>
  </si>
  <si>
    <t>12852546</t>
  </si>
  <si>
    <t>B-622</t>
  </si>
  <si>
    <t>9901.6294288</t>
  </si>
  <si>
    <t>D-234/1</t>
  </si>
  <si>
    <t>1026.6230709</t>
  </si>
  <si>
    <t>C-524</t>
  </si>
  <si>
    <t>12852548</t>
  </si>
  <si>
    <t>LS-59</t>
  </si>
  <si>
    <t>4979566</t>
  </si>
  <si>
    <t>F-132/5</t>
  </si>
  <si>
    <t>29179987</t>
  </si>
  <si>
    <t>LS-200</t>
  </si>
  <si>
    <t>02245979</t>
  </si>
  <si>
    <t>C-288</t>
  </si>
  <si>
    <t>02737831</t>
  </si>
  <si>
    <t>A-655</t>
  </si>
  <si>
    <t>29181450</t>
  </si>
  <si>
    <t>C-563</t>
  </si>
  <si>
    <t>02644770</t>
  </si>
  <si>
    <t>A-423</t>
  </si>
  <si>
    <t>02984972</t>
  </si>
  <si>
    <t>CI-20</t>
  </si>
  <si>
    <t>03095542</t>
  </si>
  <si>
    <t>B-343</t>
  </si>
  <si>
    <t>03095541</t>
  </si>
  <si>
    <t>CI-29</t>
  </si>
  <si>
    <t>00012682</t>
  </si>
  <si>
    <t>29181455</t>
  </si>
  <si>
    <t>A-686</t>
  </si>
  <si>
    <t>02984973</t>
  </si>
  <si>
    <t>9938.2644788</t>
  </si>
  <si>
    <t>F-132/7</t>
  </si>
  <si>
    <t>F-132/8</t>
  </si>
  <si>
    <t>02440610</t>
  </si>
  <si>
    <t>02440604</t>
  </si>
  <si>
    <t>LS-192</t>
  </si>
  <si>
    <t>29179984</t>
  </si>
  <si>
    <t>B-325</t>
  </si>
  <si>
    <t>06573623</t>
  </si>
  <si>
    <t>D-214</t>
  </si>
  <si>
    <t>29179989</t>
  </si>
  <si>
    <t>C-259</t>
  </si>
  <si>
    <t>13266976</t>
  </si>
  <si>
    <t>B-349</t>
  </si>
  <si>
    <t>08507102</t>
  </si>
  <si>
    <t>C-603</t>
  </si>
  <si>
    <t>29915700</t>
  </si>
  <si>
    <t>LS-27</t>
  </si>
  <si>
    <t>06306834</t>
  </si>
  <si>
    <t>D-433</t>
  </si>
  <si>
    <t>06306829</t>
  </si>
  <si>
    <t>LS-95</t>
  </si>
  <si>
    <t>18290831</t>
  </si>
  <si>
    <t>A-411</t>
  </si>
  <si>
    <t>10542074</t>
  </si>
  <si>
    <t>LS-108</t>
  </si>
  <si>
    <t>11608981</t>
  </si>
  <si>
    <t>A-417</t>
  </si>
  <si>
    <t>000037242</t>
  </si>
  <si>
    <t>000037241</t>
  </si>
  <si>
    <t>06522773</t>
  </si>
  <si>
    <t>C-568</t>
  </si>
  <si>
    <t>04972653</t>
  </si>
  <si>
    <t>B-340</t>
  </si>
  <si>
    <t>17811408</t>
  </si>
  <si>
    <t>LS-169</t>
  </si>
  <si>
    <t>06306835</t>
  </si>
  <si>
    <t>LS-21</t>
  </si>
  <si>
    <t>15575635</t>
  </si>
  <si>
    <t>A-642</t>
  </si>
  <si>
    <t>02403784</t>
  </si>
  <si>
    <t>A-644</t>
  </si>
  <si>
    <t>00003638</t>
  </si>
  <si>
    <t>D-218</t>
  </si>
  <si>
    <t>02644785</t>
  </si>
  <si>
    <t>D-428</t>
  </si>
  <si>
    <t>29179982</t>
  </si>
  <si>
    <t>LS-203</t>
  </si>
  <si>
    <t>29179983</t>
  </si>
  <si>
    <t>19666342</t>
  </si>
  <si>
    <t>A-645</t>
  </si>
  <si>
    <t>A-362</t>
  </si>
  <si>
    <t>A-689</t>
  </si>
  <si>
    <t>7377958</t>
  </si>
  <si>
    <t>F-131</t>
  </si>
  <si>
    <t>08144204</t>
  </si>
  <si>
    <t>D-465</t>
  </si>
  <si>
    <t>08144205</t>
  </si>
  <si>
    <t>LS-173</t>
  </si>
  <si>
    <t>01201837</t>
  </si>
  <si>
    <t>C-580</t>
  </si>
  <si>
    <t>02448573</t>
  </si>
  <si>
    <t>Muhammad Tayab</t>
  </si>
  <si>
    <t>Muhammad Younus</t>
  </si>
  <si>
    <t>(1). Mr. Raees Uddin (2). Mr. Muhammad Tariq</t>
  </si>
  <si>
    <t xml:space="preserve"> Tahir Qayum Khan</t>
  </si>
  <si>
    <t>Aijaz Khan</t>
  </si>
  <si>
    <t>Sheikh Abdul Jabbar</t>
  </si>
  <si>
    <t>Muhammad Arif</t>
  </si>
  <si>
    <t xml:space="preserve"> Muhammad Irfan</t>
  </si>
  <si>
    <t>Muhammad Irfan</t>
  </si>
  <si>
    <t>Mrs. Aziz Fatima</t>
  </si>
  <si>
    <t>Mrs. Lubna Khatoon</t>
  </si>
  <si>
    <t>Rasheed</t>
  </si>
  <si>
    <t>Mst, Mahwish Maqsood</t>
  </si>
  <si>
    <t>Muhammed Qasim</t>
  </si>
  <si>
    <t>Parvaiz Rahat</t>
  </si>
  <si>
    <t>Khadim Hussain Khan</t>
  </si>
  <si>
    <t>Mrs. Mustaqeema Begum</t>
  </si>
  <si>
    <t>Mrs. Abida Yaqoob</t>
  </si>
  <si>
    <t>Mrs. Shamim Ara</t>
  </si>
  <si>
    <t>Mrs. Rasheeda Begum</t>
  </si>
  <si>
    <t>Altaf Ahmed</t>
  </si>
  <si>
    <t>Rehmat Kareem</t>
  </si>
  <si>
    <t>Ahmed Ali</t>
  </si>
  <si>
    <t xml:space="preserve"> Iqbal Ahmed</t>
  </si>
  <si>
    <t xml:space="preserve"> Farrukh Basheer</t>
  </si>
  <si>
    <t>Muhammad Ramzan</t>
  </si>
  <si>
    <t xml:space="preserve">Amir Abbas  </t>
  </si>
  <si>
    <t xml:space="preserve">Mrs. Rifat Perveen </t>
  </si>
  <si>
    <t xml:space="preserve"> Noor Malik Bangash</t>
  </si>
  <si>
    <t>Sajid Ali</t>
  </si>
  <si>
    <t>Mrs. Naseem Fatima</t>
  </si>
  <si>
    <t>Muhammad Arshad Khan</t>
  </si>
  <si>
    <t>Muhammad Noman</t>
  </si>
  <si>
    <t>Farrukh Basheer</t>
  </si>
  <si>
    <t>Mrs. Masooma Shakila</t>
  </si>
  <si>
    <t xml:space="preserve"> Aamir Ahmed</t>
  </si>
  <si>
    <t>Aamir Ahmed</t>
  </si>
  <si>
    <t>Mujib-Ur-Rehman</t>
  </si>
  <si>
    <t>Mrs. Yasmeen Begum</t>
  </si>
  <si>
    <t>1). Mr. Umar Daraz,    
(2). Mr. Khurram</t>
  </si>
  <si>
    <t>Mrs. Rani Begum</t>
  </si>
  <si>
    <t>Syed Zahid Ali</t>
  </si>
  <si>
    <t xml:space="preserve"> Muhammad Saleem</t>
  </si>
  <si>
    <t>Mrs. Umber Hussain</t>
  </si>
  <si>
    <t>Sardar Khan</t>
  </si>
  <si>
    <t xml:space="preserve"> Imran Khursheed</t>
  </si>
  <si>
    <t>C-602</t>
  </si>
  <si>
    <t>28671101</t>
  </si>
  <si>
    <t>Muhammad Toufiq</t>
  </si>
  <si>
    <t xml:space="preserve"> Shah Jehan Khatri</t>
  </si>
  <si>
    <t>Muhammad Hussan</t>
  </si>
  <si>
    <t xml:space="preserve"> Mrs. Zahida Bano</t>
  </si>
  <si>
    <t>Mubashir Zaib</t>
  </si>
  <si>
    <t xml:space="preserve"> Ahir Ali</t>
  </si>
  <si>
    <t xml:space="preserve">F-22 </t>
  </si>
  <si>
    <t>Mirza Muhammad Jamil</t>
  </si>
  <si>
    <t>(1). Mr. Muhammad Tahir Hussain        (2). Mr. Ghulam Mustafa</t>
  </si>
  <si>
    <t>Mrs. Shazfa Athar</t>
  </si>
  <si>
    <t>Muhammad Usman Ali</t>
  </si>
  <si>
    <t>Muhammad Asim</t>
  </si>
  <si>
    <t>Muhammad Mursalin</t>
  </si>
  <si>
    <t>Abdur Rehman Siddiqui</t>
  </si>
  <si>
    <t>(1). Mr. Muhammad Anees,  
(2). Mr. Muhammad Raees</t>
  </si>
  <si>
    <t xml:space="preserve"> Muhammad Ramzan</t>
  </si>
  <si>
    <t xml:space="preserve"> Imran Khan</t>
  </si>
  <si>
    <t xml:space="preserve"> Farrukh Ahmed</t>
  </si>
  <si>
    <t>Muhammad Nadeem,</t>
  </si>
  <si>
    <t>Muhammad Usman Ghani Qureshi</t>
  </si>
  <si>
    <t xml:space="preserve"> Tanveer Ahmed</t>
  </si>
  <si>
    <t>Mirza Qadeer Baig</t>
  </si>
  <si>
    <t>Mrs. Rukhsana Parveen</t>
  </si>
  <si>
    <t>Mrs. Husan Afroz</t>
  </si>
  <si>
    <t>Mrs. Shahida Parveen</t>
  </si>
  <si>
    <t xml:space="preserve"> Mrs. Samar Jahan</t>
  </si>
  <si>
    <t>Abu Bakar</t>
  </si>
  <si>
    <t xml:space="preserve"> Shafiq Uddin</t>
  </si>
  <si>
    <t>Muhammad Faisal Noman Khan</t>
  </si>
  <si>
    <t>Abdul Shahid</t>
  </si>
  <si>
    <t>Abdul Rashid</t>
  </si>
  <si>
    <t>Syed Kamran Ahmed</t>
  </si>
  <si>
    <t xml:space="preserve"> Shai h Muhammad Sohail</t>
  </si>
  <si>
    <t>1). Mr. Faizan Siddiqui, 
(2). Mr. Rehan Siddiqui</t>
  </si>
  <si>
    <t>Zaheer Alam</t>
  </si>
  <si>
    <t>LS-105</t>
  </si>
  <si>
    <t>02651003</t>
  </si>
  <si>
    <t>Mrs. Shahnaz Begum</t>
  </si>
  <si>
    <t>Abdul Hamid Aziz</t>
  </si>
  <si>
    <t>Muhammad Mahboob</t>
  </si>
  <si>
    <t>Muhammad Imran</t>
  </si>
  <si>
    <t>Mrs. Unma-e-Rabab</t>
  </si>
  <si>
    <t xml:space="preserve"> Jawed Alam</t>
  </si>
  <si>
    <t>Mohammad Shafiq</t>
  </si>
  <si>
    <t xml:space="preserve"> Ghazala Qurban</t>
  </si>
  <si>
    <t xml:space="preserve"> Abdul Samad Qurashi</t>
  </si>
  <si>
    <t>Mrs. Viqar Un Nisa</t>
  </si>
  <si>
    <t>Mrs. Nusrat Sultana</t>
  </si>
  <si>
    <t xml:space="preserve"> Anwar Hussain Siddiqui</t>
  </si>
  <si>
    <t>Mrs. tanzeem Un Nisa</t>
  </si>
  <si>
    <t xml:space="preserve">Mrs. Shahida Parveen </t>
  </si>
  <si>
    <t>Mrs. Farzana Khanum</t>
  </si>
  <si>
    <t>Mr. Habib Khan</t>
  </si>
  <si>
    <t>Mr. Zeeshan Ejaz</t>
  </si>
  <si>
    <t>Mrs. Rafat Sultana</t>
  </si>
  <si>
    <t xml:space="preserve"> Abdul Ghaffar</t>
  </si>
  <si>
    <t>Zameer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</si>
</sst>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Rs-420]\ #,##0.00"/>
    <numFmt numFmtId="165" formatCode="[$-409]d\-mmm\-yy;@"/>
  </numFmts>
  <fonts count="11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i/>
      <sz val="12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i/>
      <sz val="12"/>
      <color rgb="FFFFFFFF"/>
      <name val="Arial"/>
      <family val="2"/>
    </font>
    <font>
      <sz val="12"/>
      <color rgb="FF000000"/>
      <name val="Arial"/>
      <family val="2"/>
    </font>
    <font>
      <sz val="11"/>
      <color rgb="FF9C65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4" borderId="0" applyNumberFormat="0" applyBorder="0" applyAlignment="0" applyProtection="0"/>
  </cellStyleXfs>
  <cellXfs count="66">
    <xf numFmtId="0" fontId="0" fillId="0" borderId="0" xfId="0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/>
    <xf numFmtId="0" fontId="9" fillId="0" borderId="1" xfId="0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0" fillId="4" borderId="1" xfId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/>
    <xf numFmtId="0" fontId="6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1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zoomScale="70" zoomScaleNormal="70" zoomScalePageLayoutView="55" workbookViewId="0">
      <selection activeCell="N9" sqref="N9"/>
    </sheetView>
  </sheetViews>
  <sheetFormatPr defaultRowHeight="14.25" x14ac:dyDescent="0.2"/>
  <cols>
    <col min="1" max="1" width="7.75" bestFit="1" customWidth="1"/>
    <col min="2" max="2" width="9" bestFit="1" customWidth="1"/>
    <col min="3" max="3" width="25.75" bestFit="1" customWidth="1"/>
    <col min="4" max="4" width="15.75" style="9" bestFit="1" customWidth="1"/>
    <col min="5" max="5" width="32.625" style="1" bestFit="1" customWidth="1"/>
    <col min="6" max="6" width="22.625" style="1" bestFit="1" customWidth="1"/>
    <col min="7" max="7" width="18.25" style="1" bestFit="1" customWidth="1"/>
    <col min="8" max="8" width="17.125" style="2" customWidth="1"/>
    <col min="9" max="9" width="13.5" style="8" bestFit="1" customWidth="1"/>
  </cols>
  <sheetData>
    <row r="1" spans="1:9" ht="19.5" customHeight="1" x14ac:dyDescent="0.2">
      <c r="A1" s="58" t="s">
        <v>113</v>
      </c>
      <c r="B1" s="58"/>
      <c r="C1" s="58"/>
      <c r="D1" s="58"/>
      <c r="E1" s="58"/>
      <c r="F1" s="58"/>
      <c r="G1" s="58"/>
      <c r="H1" s="58"/>
      <c r="I1" s="58"/>
    </row>
    <row r="2" spans="1:9" ht="20.100000000000001" customHeight="1" x14ac:dyDescent="0.2">
      <c r="A2" s="49" t="s">
        <v>0</v>
      </c>
      <c r="B2" s="50" t="s">
        <v>1</v>
      </c>
      <c r="C2" s="50" t="s">
        <v>2</v>
      </c>
      <c r="D2" s="50" t="s">
        <v>3</v>
      </c>
      <c r="E2" s="50" t="s">
        <v>34</v>
      </c>
      <c r="F2" s="50" t="s">
        <v>4</v>
      </c>
      <c r="G2" s="50" t="s">
        <v>11</v>
      </c>
      <c r="H2" s="50" t="s">
        <v>5</v>
      </c>
      <c r="I2" s="50" t="s">
        <v>31</v>
      </c>
    </row>
    <row r="3" spans="1:9" ht="36" customHeight="1" x14ac:dyDescent="0.2">
      <c r="A3" s="5">
        <v>1</v>
      </c>
      <c r="B3" s="34" t="s">
        <v>7</v>
      </c>
      <c r="C3" s="6" t="s">
        <v>10</v>
      </c>
      <c r="D3" s="34" t="s">
        <v>13</v>
      </c>
      <c r="E3" s="3">
        <v>18200</v>
      </c>
      <c r="F3" s="3">
        <v>18200</v>
      </c>
      <c r="G3" s="3" t="s">
        <v>15</v>
      </c>
      <c r="H3" s="4" t="s">
        <v>26</v>
      </c>
      <c r="I3" s="7">
        <v>46015</v>
      </c>
    </row>
    <row r="4" spans="1:9" ht="36" customHeight="1" x14ac:dyDescent="0.2">
      <c r="A4" s="5">
        <v>2</v>
      </c>
      <c r="B4" s="34" t="s">
        <v>6</v>
      </c>
      <c r="C4" s="5" t="s">
        <v>8</v>
      </c>
      <c r="D4" s="34" t="s">
        <v>14</v>
      </c>
      <c r="E4" s="3">
        <v>90000</v>
      </c>
      <c r="F4" s="3">
        <v>50000</v>
      </c>
      <c r="G4" s="3">
        <v>40000</v>
      </c>
      <c r="H4" s="4" t="s">
        <v>51</v>
      </c>
      <c r="I4" s="7">
        <v>46015</v>
      </c>
    </row>
    <row r="5" spans="1:9" ht="36" customHeight="1" x14ac:dyDescent="0.2">
      <c r="A5" s="5">
        <v>3</v>
      </c>
      <c r="B5" s="34" t="s">
        <v>9</v>
      </c>
      <c r="C5" s="5" t="s">
        <v>12</v>
      </c>
      <c r="D5" s="34" t="s">
        <v>13</v>
      </c>
      <c r="E5" s="3">
        <v>48400</v>
      </c>
      <c r="F5" s="3">
        <v>48400</v>
      </c>
      <c r="G5" s="3" t="s">
        <v>15</v>
      </c>
      <c r="H5" s="4" t="s">
        <v>52</v>
      </c>
      <c r="I5" s="7">
        <v>46015</v>
      </c>
    </row>
    <row r="6" spans="1:9" ht="36" customHeight="1" x14ac:dyDescent="0.2">
      <c r="A6" s="5">
        <v>4</v>
      </c>
      <c r="B6" s="34" t="s">
        <v>16</v>
      </c>
      <c r="C6" s="5" t="s">
        <v>17</v>
      </c>
      <c r="D6" s="34" t="s">
        <v>13</v>
      </c>
      <c r="E6" s="3">
        <v>90000</v>
      </c>
      <c r="F6" s="3">
        <v>90000</v>
      </c>
      <c r="G6" s="3" t="s">
        <v>15</v>
      </c>
      <c r="H6" s="4" t="s">
        <v>27</v>
      </c>
      <c r="I6" s="7">
        <v>46019</v>
      </c>
    </row>
    <row r="7" spans="1:9" ht="36" customHeight="1" x14ac:dyDescent="0.2">
      <c r="A7" s="5">
        <v>5</v>
      </c>
      <c r="B7" s="34" t="s">
        <v>18</v>
      </c>
      <c r="C7" s="5" t="s">
        <v>19</v>
      </c>
      <c r="D7" s="34" t="s">
        <v>13</v>
      </c>
      <c r="E7" s="3">
        <v>14700</v>
      </c>
      <c r="F7" s="3">
        <v>14700</v>
      </c>
      <c r="G7" s="3" t="s">
        <v>15</v>
      </c>
      <c r="H7" s="4" t="s">
        <v>28</v>
      </c>
      <c r="I7" s="7">
        <v>46020</v>
      </c>
    </row>
    <row r="8" spans="1:9" ht="36" customHeight="1" x14ac:dyDescent="0.2">
      <c r="A8" s="5">
        <v>6</v>
      </c>
      <c r="B8" s="34" t="s">
        <v>20</v>
      </c>
      <c r="C8" s="5" t="s">
        <v>21</v>
      </c>
      <c r="D8" s="34" t="s">
        <v>13</v>
      </c>
      <c r="E8" s="3">
        <v>87120</v>
      </c>
      <c r="F8" s="3">
        <v>87120</v>
      </c>
      <c r="G8" s="3" t="s">
        <v>15</v>
      </c>
      <c r="H8" s="4" t="s">
        <v>48</v>
      </c>
      <c r="I8" s="7">
        <v>46020</v>
      </c>
    </row>
    <row r="9" spans="1:9" ht="36" customHeight="1" x14ac:dyDescent="0.2">
      <c r="A9" s="5">
        <v>7</v>
      </c>
      <c r="B9" s="34" t="s">
        <v>22</v>
      </c>
      <c r="C9" s="5" t="s">
        <v>23</v>
      </c>
      <c r="D9" s="34" t="s">
        <v>13</v>
      </c>
      <c r="E9" s="3">
        <v>3000</v>
      </c>
      <c r="F9" s="3">
        <v>3000</v>
      </c>
      <c r="G9" s="3" t="s">
        <v>15</v>
      </c>
      <c r="H9" s="4" t="s">
        <v>53</v>
      </c>
      <c r="I9" s="7">
        <v>46020</v>
      </c>
    </row>
    <row r="10" spans="1:9" ht="36" customHeight="1" x14ac:dyDescent="0.2">
      <c r="A10" s="5">
        <v>8</v>
      </c>
      <c r="B10" s="34" t="s">
        <v>24</v>
      </c>
      <c r="C10" s="5" t="s">
        <v>25</v>
      </c>
      <c r="D10" s="34" t="s">
        <v>13</v>
      </c>
      <c r="E10" s="3">
        <v>31100</v>
      </c>
      <c r="F10" s="3">
        <v>31100</v>
      </c>
      <c r="G10" s="3" t="s">
        <v>15</v>
      </c>
      <c r="H10" s="4" t="s">
        <v>29</v>
      </c>
      <c r="I10" s="7">
        <v>46021</v>
      </c>
    </row>
    <row r="11" spans="1:9" ht="36" customHeight="1" x14ac:dyDescent="0.2">
      <c r="A11" s="14">
        <v>9</v>
      </c>
      <c r="B11" s="34" t="s">
        <v>49</v>
      </c>
      <c r="C11" s="5" t="s">
        <v>39</v>
      </c>
      <c r="D11" s="34" t="s">
        <v>13</v>
      </c>
      <c r="E11" s="3">
        <v>100000</v>
      </c>
      <c r="F11" s="3">
        <v>100000</v>
      </c>
      <c r="G11" s="3" t="s">
        <v>15</v>
      </c>
      <c r="H11" s="4" t="s">
        <v>30</v>
      </c>
      <c r="I11" s="7">
        <v>46019</v>
      </c>
    </row>
    <row r="12" spans="1:9" ht="36" customHeight="1" x14ac:dyDescent="0.2">
      <c r="A12" s="5">
        <v>10</v>
      </c>
      <c r="B12" s="34" t="s">
        <v>33</v>
      </c>
      <c r="C12" s="5" t="s">
        <v>36</v>
      </c>
      <c r="D12" s="34" t="s">
        <v>13</v>
      </c>
      <c r="E12" s="3">
        <v>143520</v>
      </c>
      <c r="F12" s="3">
        <v>143520</v>
      </c>
      <c r="G12" s="3" t="s">
        <v>15</v>
      </c>
      <c r="H12" s="4" t="s">
        <v>32</v>
      </c>
      <c r="I12" s="7">
        <v>46015</v>
      </c>
    </row>
    <row r="13" spans="1:9" ht="36" customHeight="1" x14ac:dyDescent="0.2">
      <c r="A13" s="5">
        <v>11</v>
      </c>
      <c r="B13" s="34" t="s">
        <v>37</v>
      </c>
      <c r="C13" s="6" t="s">
        <v>38</v>
      </c>
      <c r="D13" s="34" t="s">
        <v>13</v>
      </c>
      <c r="E13" s="3">
        <v>188960</v>
      </c>
      <c r="F13" s="3">
        <v>188960</v>
      </c>
      <c r="G13" s="3" t="s">
        <v>15</v>
      </c>
      <c r="H13" s="4" t="s">
        <v>35</v>
      </c>
      <c r="I13" s="7">
        <v>46021</v>
      </c>
    </row>
    <row r="14" spans="1:9" ht="36" customHeight="1" x14ac:dyDescent="0.2">
      <c r="A14" s="5">
        <v>12</v>
      </c>
      <c r="B14" s="34" t="s">
        <v>40</v>
      </c>
      <c r="C14" s="6" t="s">
        <v>41</v>
      </c>
      <c r="D14" s="34" t="s">
        <v>13</v>
      </c>
      <c r="E14" s="3">
        <v>100000</v>
      </c>
      <c r="F14" s="3">
        <v>100000</v>
      </c>
      <c r="G14" s="3" t="s">
        <v>15</v>
      </c>
      <c r="H14" s="4" t="s">
        <v>42</v>
      </c>
      <c r="I14" s="7">
        <v>46020</v>
      </c>
    </row>
    <row r="15" spans="1:9" ht="36" customHeight="1" x14ac:dyDescent="0.2">
      <c r="A15" s="15">
        <v>13</v>
      </c>
      <c r="B15" s="34" t="s">
        <v>45</v>
      </c>
      <c r="C15" s="6" t="s">
        <v>46</v>
      </c>
      <c r="D15" s="34" t="s">
        <v>13</v>
      </c>
      <c r="E15" s="3">
        <v>20000</v>
      </c>
      <c r="F15" s="3">
        <v>20000</v>
      </c>
      <c r="G15" s="3" t="s">
        <v>15</v>
      </c>
      <c r="H15" s="4" t="s">
        <v>47</v>
      </c>
      <c r="I15" s="7">
        <v>46022</v>
      </c>
    </row>
    <row r="16" spans="1:9" ht="36" customHeight="1" x14ac:dyDescent="0.2">
      <c r="A16" s="16">
        <v>14</v>
      </c>
      <c r="B16" s="17" t="s">
        <v>43</v>
      </c>
      <c r="C16" s="21" t="s">
        <v>44</v>
      </c>
      <c r="D16" s="17" t="s">
        <v>13</v>
      </c>
      <c r="E16" s="18">
        <v>173440</v>
      </c>
      <c r="F16" s="18">
        <v>173440</v>
      </c>
      <c r="G16" s="18" t="s">
        <v>15</v>
      </c>
      <c r="H16" s="19" t="s">
        <v>50</v>
      </c>
      <c r="I16" s="20">
        <v>46022</v>
      </c>
    </row>
    <row r="17" spans="1:10" ht="36" customHeight="1" x14ac:dyDescent="0.2">
      <c r="A17" s="5">
        <v>15</v>
      </c>
      <c r="B17" s="34" t="s">
        <v>60</v>
      </c>
      <c r="C17" s="6" t="s">
        <v>61</v>
      </c>
      <c r="D17" s="34" t="s">
        <v>13</v>
      </c>
      <c r="E17" s="3">
        <v>112000</v>
      </c>
      <c r="F17" s="3">
        <v>112000</v>
      </c>
      <c r="G17" s="3" t="s">
        <v>15</v>
      </c>
      <c r="H17" s="4" t="s">
        <v>54</v>
      </c>
      <c r="I17" s="7">
        <v>46009</v>
      </c>
    </row>
    <row r="18" spans="1:10" ht="36" customHeight="1" x14ac:dyDescent="0.2">
      <c r="A18" s="5">
        <v>16</v>
      </c>
      <c r="B18" s="34" t="s">
        <v>58</v>
      </c>
      <c r="C18" s="6" t="s">
        <v>59</v>
      </c>
      <c r="D18" s="34" t="s">
        <v>13</v>
      </c>
      <c r="E18" s="3">
        <v>133000</v>
      </c>
      <c r="F18" s="3">
        <v>133000</v>
      </c>
      <c r="G18" s="3" t="s">
        <v>15</v>
      </c>
      <c r="H18" s="4" t="s">
        <v>55</v>
      </c>
      <c r="I18" s="7">
        <v>46010</v>
      </c>
      <c r="J18" s="9" t="s">
        <v>303</v>
      </c>
    </row>
    <row r="19" spans="1:10" ht="36" customHeight="1" x14ac:dyDescent="0.2">
      <c r="A19" s="22">
        <v>17</v>
      </c>
      <c r="B19" s="34" t="s">
        <v>56</v>
      </c>
      <c r="C19" s="6" t="s">
        <v>62</v>
      </c>
      <c r="D19" s="34" t="s">
        <v>13</v>
      </c>
      <c r="E19" s="3">
        <v>43240</v>
      </c>
      <c r="F19" s="3">
        <v>43240</v>
      </c>
      <c r="G19" s="3" t="s">
        <v>15</v>
      </c>
      <c r="H19" s="4" t="s">
        <v>57</v>
      </c>
      <c r="I19" s="7">
        <v>46022</v>
      </c>
    </row>
    <row r="20" spans="1:10" ht="36" customHeight="1" x14ac:dyDescent="0.2">
      <c r="A20" s="22">
        <v>18</v>
      </c>
      <c r="B20" s="34" t="s">
        <v>83</v>
      </c>
      <c r="C20" s="6" t="s">
        <v>84</v>
      </c>
      <c r="D20" s="34" t="s">
        <v>13</v>
      </c>
      <c r="E20" s="3">
        <v>2500</v>
      </c>
      <c r="F20" s="3">
        <v>2500</v>
      </c>
      <c r="G20" s="3" t="s">
        <v>15</v>
      </c>
      <c r="H20" s="4" t="s">
        <v>85</v>
      </c>
      <c r="I20" s="7">
        <v>46020</v>
      </c>
    </row>
    <row r="21" spans="1:10" ht="36" customHeight="1" x14ac:dyDescent="0.2">
      <c r="A21" s="59" t="s">
        <v>74</v>
      </c>
      <c r="B21" s="60"/>
      <c r="C21" s="60"/>
      <c r="D21" s="60"/>
      <c r="E21" s="61"/>
      <c r="F21" s="23">
        <f>SUM(F3:F20)</f>
        <v>1359180</v>
      </c>
      <c r="G21" s="35"/>
      <c r="H21" s="35"/>
      <c r="I21" s="35"/>
    </row>
    <row r="22" spans="1:10" ht="36" customHeight="1" x14ac:dyDescent="0.2">
      <c r="A22" s="10"/>
      <c r="B22" s="10"/>
      <c r="C22" s="10"/>
      <c r="E22" s="11"/>
      <c r="F22" s="11"/>
      <c r="G22" s="11"/>
      <c r="H22" s="12"/>
      <c r="I22" s="13"/>
    </row>
    <row r="23" spans="1:10" ht="36" customHeight="1" x14ac:dyDescent="0.2">
      <c r="A23" s="10"/>
      <c r="B23" s="10"/>
      <c r="C23" s="10"/>
      <c r="E23" s="11"/>
      <c r="F23" s="11"/>
      <c r="G23" s="11"/>
      <c r="H23" s="12"/>
      <c r="I23" s="13"/>
    </row>
    <row r="24" spans="1:10" ht="36" customHeight="1" x14ac:dyDescent="0.2">
      <c r="A24" s="10"/>
      <c r="B24" s="10"/>
      <c r="C24" s="10"/>
      <c r="E24" s="11"/>
      <c r="F24" s="11"/>
      <c r="G24" s="11"/>
      <c r="H24" s="12"/>
      <c r="I24" s="13"/>
    </row>
    <row r="25" spans="1:10" ht="36" customHeight="1" x14ac:dyDescent="0.2">
      <c r="A25" s="10"/>
      <c r="B25" s="10"/>
      <c r="C25" s="10"/>
      <c r="E25" s="11"/>
      <c r="F25" s="11"/>
      <c r="G25" s="11"/>
      <c r="H25" s="12"/>
      <c r="I25" s="13"/>
    </row>
    <row r="26" spans="1:10" ht="36" customHeight="1" x14ac:dyDescent="0.2">
      <c r="A26" s="10"/>
      <c r="B26" s="10"/>
      <c r="C26" s="10"/>
      <c r="E26" s="11"/>
      <c r="F26" s="11"/>
      <c r="G26" s="11"/>
      <c r="H26" s="12"/>
      <c r="I26" s="13"/>
    </row>
    <row r="27" spans="1:10" ht="36" customHeight="1" x14ac:dyDescent="0.2">
      <c r="A27" s="10"/>
      <c r="B27" s="10"/>
      <c r="C27" s="10"/>
      <c r="E27" s="11"/>
      <c r="F27" s="11"/>
      <c r="G27" s="11"/>
      <c r="H27" s="12"/>
      <c r="I27" s="13"/>
    </row>
    <row r="28" spans="1:10" ht="36" customHeight="1" x14ac:dyDescent="0.2">
      <c r="A28" s="10"/>
      <c r="B28" s="10"/>
      <c r="C28" s="10"/>
      <c r="E28" s="11"/>
      <c r="F28" s="11"/>
      <c r="G28" s="11"/>
      <c r="H28" s="12"/>
      <c r="I28" s="13"/>
    </row>
    <row r="29" spans="1:10" ht="36" customHeight="1" x14ac:dyDescent="0.2">
      <c r="A29" s="10"/>
      <c r="B29" s="10"/>
      <c r="C29" s="10"/>
      <c r="E29" s="11"/>
      <c r="F29" s="11"/>
      <c r="G29" s="11"/>
      <c r="H29" s="12"/>
      <c r="I29" s="13"/>
    </row>
    <row r="30" spans="1:10" ht="36" customHeight="1" x14ac:dyDescent="0.2">
      <c r="A30" s="10"/>
      <c r="B30" s="10"/>
      <c r="C30" s="10"/>
      <c r="E30" s="11"/>
      <c r="F30" s="11"/>
      <c r="G30" s="11"/>
      <c r="H30" s="12"/>
      <c r="I30" s="13"/>
    </row>
    <row r="31" spans="1:10" ht="36" customHeight="1" x14ac:dyDescent="0.2">
      <c r="A31" s="10"/>
      <c r="B31" s="10"/>
      <c r="C31" s="10"/>
      <c r="E31" s="11"/>
      <c r="F31" s="11"/>
      <c r="G31" s="11"/>
      <c r="H31" s="12"/>
      <c r="I31" s="13"/>
    </row>
    <row r="32" spans="1:10" ht="36" customHeight="1" x14ac:dyDescent="0.2">
      <c r="A32" s="10"/>
      <c r="B32" s="10"/>
      <c r="C32" s="10"/>
      <c r="E32" s="11"/>
      <c r="F32" s="11"/>
      <c r="G32" s="11"/>
      <c r="H32" s="12"/>
      <c r="I32" s="13"/>
    </row>
    <row r="33" spans="1:9" ht="36" customHeight="1" x14ac:dyDescent="0.2">
      <c r="A33" s="10"/>
      <c r="B33" s="10"/>
      <c r="C33" s="10"/>
      <c r="E33" s="11"/>
      <c r="F33" s="11"/>
      <c r="G33" s="11"/>
      <c r="H33" s="12"/>
      <c r="I33" s="13"/>
    </row>
    <row r="34" spans="1:9" ht="36" customHeight="1" x14ac:dyDescent="0.2">
      <c r="A34" s="10"/>
      <c r="B34" s="10"/>
      <c r="C34" s="10"/>
      <c r="E34" s="11"/>
      <c r="F34" s="11"/>
      <c r="G34" s="11"/>
      <c r="H34" s="12"/>
      <c r="I34" s="13"/>
    </row>
    <row r="35" spans="1:9" ht="36" customHeight="1" x14ac:dyDescent="0.2">
      <c r="A35" s="10"/>
      <c r="B35" s="10"/>
      <c r="C35" s="10"/>
      <c r="E35" s="11"/>
      <c r="F35" s="11"/>
      <c r="G35" s="11"/>
      <c r="H35" s="12"/>
      <c r="I35" s="13"/>
    </row>
    <row r="36" spans="1:9" ht="36" customHeight="1" x14ac:dyDescent="0.2">
      <c r="A36" s="10"/>
      <c r="B36" s="10"/>
      <c r="C36" s="10"/>
      <c r="E36" s="11"/>
      <c r="F36" s="11"/>
      <c r="G36" s="11"/>
      <c r="H36" s="12"/>
      <c r="I36" s="13"/>
    </row>
    <row r="37" spans="1:9" ht="36" customHeight="1" x14ac:dyDescent="0.2">
      <c r="A37" s="10"/>
      <c r="B37" s="10"/>
      <c r="C37" s="10"/>
      <c r="E37" s="11"/>
      <c r="F37" s="11"/>
      <c r="G37" s="11"/>
      <c r="H37" s="12"/>
      <c r="I37" s="13"/>
    </row>
    <row r="38" spans="1:9" ht="36" customHeight="1" x14ac:dyDescent="0.2">
      <c r="A38" s="10"/>
      <c r="B38" s="10"/>
      <c r="C38" s="10"/>
      <c r="E38" s="11"/>
      <c r="F38" s="11"/>
      <c r="G38" s="11"/>
      <c r="H38" s="12"/>
      <c r="I38" s="13"/>
    </row>
    <row r="39" spans="1:9" ht="36" customHeight="1" x14ac:dyDescent="0.2">
      <c r="A39" s="10"/>
      <c r="B39" s="10"/>
      <c r="C39" s="10"/>
      <c r="E39" s="11"/>
      <c r="F39" s="11"/>
      <c r="G39" s="11"/>
      <c r="H39" s="12"/>
      <c r="I39" s="13"/>
    </row>
    <row r="40" spans="1:9" ht="36" customHeight="1" x14ac:dyDescent="0.2">
      <c r="A40" s="10"/>
      <c r="B40" s="10"/>
      <c r="C40" s="10"/>
      <c r="E40" s="11"/>
      <c r="F40" s="11"/>
      <c r="G40" s="11"/>
      <c r="H40" s="12"/>
      <c r="I40" s="13"/>
    </row>
    <row r="41" spans="1:9" ht="36" customHeight="1" x14ac:dyDescent="0.2">
      <c r="A41" s="10"/>
      <c r="B41" s="10"/>
      <c r="C41" s="10"/>
      <c r="E41" s="11"/>
      <c r="F41" s="11"/>
      <c r="G41" s="11"/>
      <c r="H41" s="12"/>
      <c r="I41" s="13"/>
    </row>
    <row r="42" spans="1:9" ht="36" customHeight="1" x14ac:dyDescent="0.2">
      <c r="A42" s="10"/>
      <c r="B42" s="10"/>
      <c r="C42" s="10"/>
      <c r="E42" s="11"/>
      <c r="F42" s="11"/>
      <c r="G42" s="11"/>
      <c r="H42" s="12"/>
      <c r="I42" s="13"/>
    </row>
    <row r="43" spans="1:9" ht="36" customHeight="1" x14ac:dyDescent="0.2">
      <c r="A43" s="10"/>
      <c r="B43" s="10"/>
      <c r="C43" s="10"/>
      <c r="E43" s="11"/>
      <c r="F43" s="11"/>
      <c r="G43" s="11"/>
      <c r="H43" s="12"/>
      <c r="I43" s="13"/>
    </row>
    <row r="44" spans="1:9" ht="36" customHeight="1" x14ac:dyDescent="0.2">
      <c r="A44" s="10"/>
      <c r="B44" s="10"/>
      <c r="C44" s="10"/>
      <c r="E44" s="11"/>
      <c r="F44" s="11"/>
      <c r="G44" s="11"/>
      <c r="H44" s="12"/>
      <c r="I44" s="13"/>
    </row>
    <row r="45" spans="1:9" ht="36" customHeight="1" x14ac:dyDescent="0.2">
      <c r="A45" s="10"/>
      <c r="B45" s="10"/>
      <c r="C45" s="10"/>
      <c r="E45" s="11"/>
      <c r="F45" s="11"/>
      <c r="G45" s="11"/>
      <c r="H45" s="12"/>
      <c r="I45" s="13"/>
    </row>
    <row r="46" spans="1:9" ht="36" customHeight="1" x14ac:dyDescent="0.2">
      <c r="A46" s="10"/>
      <c r="B46" s="10"/>
      <c r="C46" s="10"/>
      <c r="E46" s="11"/>
      <c r="F46" s="11"/>
      <c r="G46" s="11"/>
      <c r="H46" s="12"/>
      <c r="I46" s="13"/>
    </row>
    <row r="47" spans="1:9" ht="36" customHeight="1" x14ac:dyDescent="0.2">
      <c r="A47" s="10"/>
      <c r="B47" s="10"/>
      <c r="C47" s="10"/>
      <c r="E47" s="11"/>
      <c r="F47" s="11"/>
      <c r="G47" s="11"/>
      <c r="H47" s="12"/>
      <c r="I47" s="13"/>
    </row>
    <row r="48" spans="1:9" ht="36" customHeight="1" x14ac:dyDescent="0.2">
      <c r="A48" s="10"/>
      <c r="B48" s="10"/>
      <c r="C48" s="10"/>
      <c r="E48" s="11"/>
      <c r="F48" s="11"/>
      <c r="G48" s="11"/>
      <c r="H48" s="12"/>
      <c r="I48" s="13"/>
    </row>
    <row r="49" spans="1:9" ht="36" customHeight="1" x14ac:dyDescent="0.2">
      <c r="A49" s="10"/>
      <c r="B49" s="10"/>
      <c r="C49" s="10"/>
      <c r="E49" s="11"/>
      <c r="F49" s="11"/>
      <c r="G49" s="11"/>
      <c r="H49" s="12"/>
      <c r="I49" s="13"/>
    </row>
    <row r="50" spans="1:9" ht="36" customHeight="1" x14ac:dyDescent="0.2">
      <c r="A50" s="10"/>
      <c r="B50" s="10"/>
      <c r="C50" s="10"/>
      <c r="E50" s="11"/>
      <c r="F50" s="11"/>
      <c r="G50" s="11"/>
      <c r="H50" s="12"/>
      <c r="I50" s="13"/>
    </row>
    <row r="51" spans="1:9" ht="36" customHeight="1" x14ac:dyDescent="0.2">
      <c r="A51" s="10"/>
      <c r="B51" s="10"/>
      <c r="C51" s="10"/>
      <c r="E51" s="11"/>
      <c r="F51" s="11"/>
      <c r="G51" s="11"/>
      <c r="H51" s="12"/>
      <c r="I51" s="13"/>
    </row>
    <row r="52" spans="1:9" ht="36" customHeight="1" x14ac:dyDescent="0.2">
      <c r="A52" s="10"/>
      <c r="B52" s="10"/>
      <c r="C52" s="10"/>
      <c r="E52" s="11"/>
      <c r="F52" s="11"/>
      <c r="G52" s="11"/>
      <c r="H52" s="12"/>
      <c r="I52" s="13"/>
    </row>
    <row r="53" spans="1:9" ht="36" customHeight="1" x14ac:dyDescent="0.2">
      <c r="A53" s="10"/>
      <c r="B53" s="10"/>
      <c r="C53" s="10"/>
      <c r="E53" s="11"/>
      <c r="F53" s="11"/>
      <c r="G53" s="11"/>
      <c r="H53" s="12"/>
      <c r="I53" s="13"/>
    </row>
    <row r="54" spans="1:9" ht="36" customHeight="1" x14ac:dyDescent="0.2">
      <c r="A54" s="10"/>
      <c r="B54" s="10"/>
      <c r="C54" s="10"/>
      <c r="E54" s="11"/>
      <c r="F54" s="11"/>
      <c r="G54" s="11"/>
      <c r="H54" s="12"/>
      <c r="I54" s="13"/>
    </row>
    <row r="55" spans="1:9" ht="36" customHeight="1" x14ac:dyDescent="0.2">
      <c r="A55" s="10"/>
      <c r="B55" s="10"/>
      <c r="C55" s="10"/>
      <c r="E55" s="11"/>
      <c r="F55" s="11"/>
      <c r="G55" s="11"/>
      <c r="H55" s="12"/>
      <c r="I55" s="13"/>
    </row>
    <row r="56" spans="1:9" ht="36" customHeight="1" x14ac:dyDescent="0.2">
      <c r="A56" s="10"/>
      <c r="B56" s="10"/>
      <c r="C56" s="10"/>
      <c r="E56" s="11"/>
      <c r="F56" s="11"/>
      <c r="G56" s="11"/>
      <c r="H56" s="12"/>
      <c r="I56" s="13"/>
    </row>
    <row r="57" spans="1:9" ht="36" customHeight="1" x14ac:dyDescent="0.2">
      <c r="A57" s="10"/>
      <c r="B57" s="10"/>
      <c r="C57" s="10"/>
      <c r="E57" s="11"/>
      <c r="F57" s="11"/>
      <c r="G57" s="11"/>
      <c r="H57" s="12"/>
      <c r="I57" s="13"/>
    </row>
    <row r="58" spans="1:9" ht="36" customHeight="1" x14ac:dyDescent="0.2">
      <c r="A58" s="10"/>
      <c r="B58" s="10"/>
      <c r="C58" s="10"/>
      <c r="E58" s="11"/>
      <c r="F58" s="11"/>
      <c r="G58" s="11"/>
      <c r="H58" s="12"/>
      <c r="I58" s="13"/>
    </row>
    <row r="59" spans="1:9" ht="36" customHeight="1" x14ac:dyDescent="0.2">
      <c r="A59" s="10"/>
      <c r="B59" s="10"/>
      <c r="C59" s="10"/>
      <c r="E59" s="11"/>
      <c r="F59" s="11"/>
      <c r="G59" s="11"/>
      <c r="H59" s="12"/>
      <c r="I59" s="13"/>
    </row>
    <row r="60" spans="1:9" ht="36" customHeight="1" x14ac:dyDescent="0.2">
      <c r="A60" s="10"/>
    </row>
    <row r="61" spans="1:9" ht="36" customHeight="1" x14ac:dyDescent="0.2"/>
    <row r="62" spans="1:9" ht="36" customHeight="1" x14ac:dyDescent="0.2"/>
    <row r="63" spans="1:9" ht="36" customHeight="1" x14ac:dyDescent="0.2"/>
    <row r="64" spans="1:9" ht="36" customHeight="1" x14ac:dyDescent="0.2"/>
    <row r="65" ht="36" customHeight="1" x14ac:dyDescent="0.2"/>
    <row r="66" ht="36" customHeight="1" x14ac:dyDescent="0.2"/>
    <row r="67" ht="36" customHeight="1" x14ac:dyDescent="0.2"/>
  </sheetData>
  <mergeCells count="2">
    <mergeCell ref="A1:I1"/>
    <mergeCell ref="A21:E21"/>
  </mergeCells>
  <conditionalFormatting sqref="D2:D15 D22:D1048576 D17:D20">
    <cfRule type="containsText" dxfId="128" priority="2" operator="containsText" text="partially paid">
      <formula>NOT(ISERROR(SEARCH("partially paid",D2)))</formula>
    </cfRule>
  </conditionalFormatting>
  <conditionalFormatting sqref="D2:D20 D22:D1048576">
    <cfRule type="containsText" dxfId="127" priority="1" operator="containsText" text="Cleared">
      <formula>NOT(ISERROR(SEARCH("Cleared",D2)))</formula>
    </cfRule>
  </conditionalFormatting>
  <pageMargins left="0.25" right="0.25" top="0.75" bottom="0.75" header="0.3" footer="0.3"/>
  <pageSetup paperSize="9" scale="69" orientation="landscape" r:id="rId1"/>
  <ignoredErrors>
    <ignoredError sqref="H3:H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19"/>
  <sheetViews>
    <sheetView topLeftCell="A250" zoomScale="85" zoomScaleNormal="85" workbookViewId="0">
      <selection activeCell="K57" sqref="K57"/>
    </sheetView>
  </sheetViews>
  <sheetFormatPr defaultRowHeight="14.25" x14ac:dyDescent="0.2"/>
  <cols>
    <col min="1" max="1" width="7.75" bestFit="1" customWidth="1"/>
    <col min="2" max="2" width="9" bestFit="1" customWidth="1"/>
    <col min="3" max="3" width="39.375" customWidth="1"/>
    <col min="4" max="4" width="27.5" customWidth="1"/>
    <col min="5" max="5" width="32.625" style="25" bestFit="1" customWidth="1"/>
    <col min="6" max="6" width="22.625" style="25" bestFit="1" customWidth="1"/>
    <col min="7" max="7" width="18.25" bestFit="1" customWidth="1"/>
    <col min="8" max="8" width="17.125" style="27" customWidth="1"/>
    <col min="9" max="9" width="19.25" style="26" customWidth="1"/>
    <col min="10" max="10" width="13.5" bestFit="1" customWidth="1"/>
  </cols>
  <sheetData>
    <row r="1" spans="1:10" ht="19.5" customHeight="1" x14ac:dyDescent="0.2">
      <c r="A1" s="62" t="s">
        <v>63</v>
      </c>
      <c r="B1" s="62"/>
      <c r="C1" s="62"/>
      <c r="D1" s="62"/>
      <c r="E1" s="62"/>
      <c r="F1" s="62"/>
      <c r="G1" s="62"/>
      <c r="H1" s="62"/>
      <c r="I1" s="62"/>
    </row>
    <row r="2" spans="1:10" ht="19.5" customHeight="1" x14ac:dyDescent="0.2">
      <c r="A2" s="28" t="s">
        <v>0</v>
      </c>
      <c r="B2" s="28" t="s">
        <v>1</v>
      </c>
      <c r="C2" s="28" t="s">
        <v>2</v>
      </c>
      <c r="D2" s="28" t="s">
        <v>3</v>
      </c>
      <c r="E2" s="29" t="s">
        <v>34</v>
      </c>
      <c r="F2" s="29" t="s">
        <v>4</v>
      </c>
      <c r="G2" s="28" t="s">
        <v>11</v>
      </c>
      <c r="H2" s="30" t="s">
        <v>5</v>
      </c>
      <c r="I2" s="31" t="s">
        <v>31</v>
      </c>
    </row>
    <row r="3" spans="1:10" ht="36" customHeight="1" x14ac:dyDescent="0.2">
      <c r="A3" s="32">
        <v>1</v>
      </c>
      <c r="B3" s="24" t="s">
        <v>64</v>
      </c>
      <c r="C3" s="24" t="s">
        <v>75</v>
      </c>
      <c r="D3" s="24" t="s">
        <v>79</v>
      </c>
      <c r="E3" s="3">
        <v>25000</v>
      </c>
      <c r="F3" s="3">
        <v>25000</v>
      </c>
      <c r="G3" s="24" t="s">
        <v>79</v>
      </c>
      <c r="H3" s="4" t="s">
        <v>68</v>
      </c>
      <c r="I3" s="7">
        <v>46025</v>
      </c>
    </row>
    <row r="4" spans="1:10" ht="36" customHeight="1" x14ac:dyDescent="0.2">
      <c r="A4" s="32">
        <v>2</v>
      </c>
      <c r="B4" s="24" t="s">
        <v>64</v>
      </c>
      <c r="C4" s="24" t="s">
        <v>75</v>
      </c>
      <c r="D4" s="24" t="s">
        <v>13</v>
      </c>
      <c r="E4" s="3">
        <v>76350</v>
      </c>
      <c r="F4" s="3">
        <v>76350</v>
      </c>
      <c r="G4" s="24" t="s">
        <v>65</v>
      </c>
      <c r="H4" s="4" t="s">
        <v>69</v>
      </c>
      <c r="I4" s="7">
        <v>46025</v>
      </c>
    </row>
    <row r="5" spans="1:10" ht="36" customHeight="1" x14ac:dyDescent="0.2">
      <c r="A5" s="32">
        <v>3</v>
      </c>
      <c r="B5" s="24" t="s">
        <v>66</v>
      </c>
      <c r="C5" s="24" t="s">
        <v>67</v>
      </c>
      <c r="D5" s="24" t="s">
        <v>13</v>
      </c>
      <c r="E5" s="3">
        <v>86080</v>
      </c>
      <c r="F5" s="3">
        <v>86080</v>
      </c>
      <c r="G5" s="24" t="s">
        <v>65</v>
      </c>
      <c r="H5" s="4" t="s">
        <v>70</v>
      </c>
      <c r="I5" s="7">
        <v>46025</v>
      </c>
    </row>
    <row r="6" spans="1:10" ht="36" customHeight="1" x14ac:dyDescent="0.2">
      <c r="A6" s="32">
        <v>4</v>
      </c>
      <c r="B6" s="24" t="s">
        <v>71</v>
      </c>
      <c r="C6" s="24" t="s">
        <v>72</v>
      </c>
      <c r="D6" s="24" t="s">
        <v>13</v>
      </c>
      <c r="E6" s="3">
        <v>40000</v>
      </c>
      <c r="F6" s="3">
        <v>40000</v>
      </c>
      <c r="G6" s="24" t="s">
        <v>65</v>
      </c>
      <c r="H6" s="4" t="s">
        <v>73</v>
      </c>
      <c r="I6" s="7">
        <v>46025</v>
      </c>
    </row>
    <row r="7" spans="1:10" ht="36" customHeight="1" x14ac:dyDescent="0.2">
      <c r="A7" s="32">
        <v>5</v>
      </c>
      <c r="B7" s="24" t="s">
        <v>76</v>
      </c>
      <c r="C7" s="24" t="s">
        <v>77</v>
      </c>
      <c r="D7" s="24" t="s">
        <v>13</v>
      </c>
      <c r="E7" s="3">
        <v>10700</v>
      </c>
      <c r="F7" s="3">
        <v>10700</v>
      </c>
      <c r="G7" s="24" t="s">
        <v>65</v>
      </c>
      <c r="H7" s="4" t="s">
        <v>78</v>
      </c>
      <c r="I7" s="7">
        <v>46026</v>
      </c>
    </row>
    <row r="8" spans="1:10" ht="36" customHeight="1" x14ac:dyDescent="0.2">
      <c r="A8" s="32">
        <v>6</v>
      </c>
      <c r="B8" s="24" t="s">
        <v>80</v>
      </c>
      <c r="C8" s="24" t="s">
        <v>82</v>
      </c>
      <c r="D8" s="24" t="s">
        <v>13</v>
      </c>
      <c r="E8" s="3">
        <v>108950</v>
      </c>
      <c r="F8" s="3">
        <v>108950</v>
      </c>
      <c r="G8" s="24" t="s">
        <v>65</v>
      </c>
      <c r="H8" s="4" t="s">
        <v>81</v>
      </c>
      <c r="I8" s="7">
        <v>46026</v>
      </c>
    </row>
    <row r="9" spans="1:10" ht="36" customHeight="1" x14ac:dyDescent="0.2">
      <c r="A9" s="32">
        <v>7</v>
      </c>
      <c r="B9" s="24" t="s">
        <v>86</v>
      </c>
      <c r="C9" s="24" t="s">
        <v>88</v>
      </c>
      <c r="D9" s="24" t="s">
        <v>13</v>
      </c>
      <c r="E9" s="3">
        <v>10000</v>
      </c>
      <c r="F9" s="3">
        <v>10000</v>
      </c>
      <c r="G9" s="3" t="s">
        <v>65</v>
      </c>
      <c r="H9" s="4" t="s">
        <v>87</v>
      </c>
      <c r="I9" s="7">
        <v>46027</v>
      </c>
    </row>
    <row r="10" spans="1:10" ht="36" customHeight="1" x14ac:dyDescent="0.2">
      <c r="A10" s="32">
        <v>8</v>
      </c>
      <c r="B10" s="24" t="s">
        <v>89</v>
      </c>
      <c r="C10" s="24" t="s">
        <v>90</v>
      </c>
      <c r="D10" s="24" t="s">
        <v>14</v>
      </c>
      <c r="E10" s="3">
        <v>142520</v>
      </c>
      <c r="F10" s="3">
        <v>50000</v>
      </c>
      <c r="G10" s="3">
        <f>E10-F10</f>
        <v>92520</v>
      </c>
      <c r="H10" s="4" t="s">
        <v>91</v>
      </c>
      <c r="I10" s="7">
        <v>46027</v>
      </c>
    </row>
    <row r="11" spans="1:10" ht="36" customHeight="1" x14ac:dyDescent="0.2">
      <c r="A11" s="33">
        <v>9</v>
      </c>
      <c r="B11" s="33" t="s">
        <v>103</v>
      </c>
      <c r="C11" s="33" t="s">
        <v>104</v>
      </c>
      <c r="D11" s="51" t="s">
        <v>105</v>
      </c>
      <c r="E11" s="3">
        <v>104000</v>
      </c>
      <c r="F11" s="3">
        <v>104000</v>
      </c>
      <c r="G11" s="3" t="s">
        <v>105</v>
      </c>
      <c r="H11" s="4" t="s">
        <v>106</v>
      </c>
      <c r="I11" s="7">
        <v>46027</v>
      </c>
    </row>
    <row r="12" spans="1:10" ht="36" customHeight="1" x14ac:dyDescent="0.2">
      <c r="A12" s="33">
        <v>10</v>
      </c>
      <c r="B12" s="33" t="s">
        <v>107</v>
      </c>
      <c r="C12" s="33" t="s">
        <v>108</v>
      </c>
      <c r="D12" s="33" t="s">
        <v>13</v>
      </c>
      <c r="E12" s="3">
        <v>75000</v>
      </c>
      <c r="F12" s="3">
        <v>75000</v>
      </c>
      <c r="G12" s="3" t="s">
        <v>65</v>
      </c>
      <c r="H12" s="4" t="s">
        <v>109</v>
      </c>
      <c r="I12" s="7">
        <v>46027</v>
      </c>
    </row>
    <row r="13" spans="1:10" ht="36" customHeight="1" x14ac:dyDescent="0.2">
      <c r="A13" s="33">
        <v>11</v>
      </c>
      <c r="B13" s="33" t="s">
        <v>110</v>
      </c>
      <c r="C13" s="33" t="s">
        <v>111</v>
      </c>
      <c r="D13" s="33" t="s">
        <v>13</v>
      </c>
      <c r="E13" s="3">
        <v>25200</v>
      </c>
      <c r="F13" s="3">
        <v>25200</v>
      </c>
      <c r="G13" s="3" t="s">
        <v>65</v>
      </c>
      <c r="H13" s="4" t="s">
        <v>112</v>
      </c>
      <c r="I13" s="7">
        <v>46027</v>
      </c>
    </row>
    <row r="14" spans="1:10" ht="36" customHeight="1" x14ac:dyDescent="0.2">
      <c r="A14" s="34">
        <v>12</v>
      </c>
      <c r="B14" s="34" t="s">
        <v>114</v>
      </c>
      <c r="C14" s="34" t="s">
        <v>115</v>
      </c>
      <c r="D14" s="34" t="s">
        <v>13</v>
      </c>
      <c r="E14" s="3">
        <v>50000</v>
      </c>
      <c r="F14" s="3">
        <v>50000</v>
      </c>
      <c r="G14" s="3" t="s">
        <v>65</v>
      </c>
      <c r="H14" s="4" t="s">
        <v>116</v>
      </c>
      <c r="I14" s="7">
        <v>46028</v>
      </c>
      <c r="J14" s="53" t="s">
        <v>205</v>
      </c>
    </row>
    <row r="15" spans="1:10" ht="36" customHeight="1" x14ac:dyDescent="0.2">
      <c r="A15" s="34">
        <v>13</v>
      </c>
      <c r="B15" s="34" t="s">
        <v>117</v>
      </c>
      <c r="C15" s="34" t="s">
        <v>118</v>
      </c>
      <c r="D15" s="34" t="s">
        <v>13</v>
      </c>
      <c r="E15" s="3">
        <v>14500</v>
      </c>
      <c r="F15" s="3">
        <v>14500</v>
      </c>
      <c r="G15" s="3" t="s">
        <v>65</v>
      </c>
      <c r="H15" s="4" t="s">
        <v>119</v>
      </c>
      <c r="I15" s="7">
        <v>46028</v>
      </c>
    </row>
    <row r="16" spans="1:10" ht="36" customHeight="1" x14ac:dyDescent="0.2">
      <c r="A16" s="34">
        <v>14</v>
      </c>
      <c r="B16" s="34" t="s">
        <v>120</v>
      </c>
      <c r="C16" s="34" t="s">
        <v>123</v>
      </c>
      <c r="D16" s="34" t="s">
        <v>14</v>
      </c>
      <c r="E16" s="3">
        <v>50000</v>
      </c>
      <c r="F16" s="3">
        <v>50000</v>
      </c>
      <c r="G16" s="3" t="s">
        <v>65</v>
      </c>
      <c r="H16" s="4" t="s">
        <v>121</v>
      </c>
      <c r="I16" s="7">
        <v>46028</v>
      </c>
    </row>
    <row r="17" spans="1:10" ht="36" customHeight="1" x14ac:dyDescent="0.2">
      <c r="A17" s="34">
        <v>15</v>
      </c>
      <c r="B17" s="34" t="s">
        <v>120</v>
      </c>
      <c r="C17" s="34" t="s">
        <v>123</v>
      </c>
      <c r="D17" s="34" t="s">
        <v>13</v>
      </c>
      <c r="E17" s="3">
        <v>23300</v>
      </c>
      <c r="F17" s="3">
        <v>23300</v>
      </c>
      <c r="G17" s="3" t="s">
        <v>65</v>
      </c>
      <c r="H17" s="4" t="s">
        <v>122</v>
      </c>
      <c r="I17" s="7">
        <v>46028</v>
      </c>
    </row>
    <row r="18" spans="1:10" ht="36" customHeight="1" x14ac:dyDescent="0.2">
      <c r="A18" s="34">
        <v>16</v>
      </c>
      <c r="B18" s="34" t="s">
        <v>124</v>
      </c>
      <c r="C18" s="34" t="s">
        <v>127</v>
      </c>
      <c r="D18" s="34" t="s">
        <v>125</v>
      </c>
      <c r="E18" s="3">
        <v>54600</v>
      </c>
      <c r="F18" s="3">
        <v>54600</v>
      </c>
      <c r="G18" s="3" t="s">
        <v>65</v>
      </c>
      <c r="H18" s="4" t="s">
        <v>126</v>
      </c>
      <c r="I18" s="7">
        <v>46028</v>
      </c>
    </row>
    <row r="19" spans="1:10" ht="36" customHeight="1" x14ac:dyDescent="0.2">
      <c r="A19" s="34">
        <v>17</v>
      </c>
      <c r="B19" s="34" t="s">
        <v>128</v>
      </c>
      <c r="C19" s="34" t="s">
        <v>139</v>
      </c>
      <c r="D19" s="34" t="s">
        <v>14</v>
      </c>
      <c r="E19" s="3">
        <v>55200</v>
      </c>
      <c r="F19" s="3">
        <v>25000</v>
      </c>
      <c r="G19" s="3">
        <v>30200</v>
      </c>
      <c r="H19" s="4" t="s">
        <v>129</v>
      </c>
      <c r="I19" s="7">
        <v>46029</v>
      </c>
    </row>
    <row r="20" spans="1:10" ht="36" customHeight="1" x14ac:dyDescent="0.2">
      <c r="A20" s="34">
        <v>18</v>
      </c>
      <c r="B20" s="34" t="s">
        <v>130</v>
      </c>
      <c r="C20" s="34" t="s">
        <v>140</v>
      </c>
      <c r="D20" s="34" t="s">
        <v>101</v>
      </c>
      <c r="E20" s="3">
        <v>28500</v>
      </c>
      <c r="F20" s="3">
        <v>28500</v>
      </c>
      <c r="G20" s="3" t="s">
        <v>65</v>
      </c>
      <c r="H20" s="4" t="s">
        <v>131</v>
      </c>
      <c r="I20" s="7">
        <v>46029</v>
      </c>
    </row>
    <row r="21" spans="1:10" ht="36" customHeight="1" x14ac:dyDescent="0.2">
      <c r="A21" s="34">
        <v>19</v>
      </c>
      <c r="B21" s="34" t="s">
        <v>132</v>
      </c>
      <c r="C21" s="34" t="s">
        <v>141</v>
      </c>
      <c r="D21" s="34" t="s">
        <v>13</v>
      </c>
      <c r="E21" s="3">
        <v>102870</v>
      </c>
      <c r="F21" s="3">
        <v>102870</v>
      </c>
      <c r="G21" s="3" t="s">
        <v>65</v>
      </c>
      <c r="H21" s="4" t="s">
        <v>133</v>
      </c>
      <c r="I21" s="7">
        <v>46029</v>
      </c>
    </row>
    <row r="22" spans="1:10" ht="36" customHeight="1" x14ac:dyDescent="0.2">
      <c r="A22" s="34">
        <v>20</v>
      </c>
      <c r="B22" s="34" t="s">
        <v>134</v>
      </c>
      <c r="C22" s="34" t="s">
        <v>142</v>
      </c>
      <c r="D22" s="34" t="s">
        <v>13</v>
      </c>
      <c r="E22" s="3">
        <v>58000</v>
      </c>
      <c r="F22" s="3">
        <v>58000</v>
      </c>
      <c r="G22" s="3" t="s">
        <v>65</v>
      </c>
      <c r="H22" s="4" t="s">
        <v>135</v>
      </c>
      <c r="I22" s="7">
        <v>46029</v>
      </c>
    </row>
    <row r="23" spans="1:10" ht="36" customHeight="1" x14ac:dyDescent="0.2">
      <c r="A23" s="34">
        <v>21</v>
      </c>
      <c r="B23" s="34" t="s">
        <v>195</v>
      </c>
      <c r="C23" s="34" t="s">
        <v>196</v>
      </c>
      <c r="D23" s="34" t="s">
        <v>13</v>
      </c>
      <c r="E23" s="3">
        <v>5880</v>
      </c>
      <c r="F23" s="3">
        <v>5880</v>
      </c>
      <c r="G23" s="3" t="s">
        <v>65</v>
      </c>
      <c r="H23" s="4" t="s">
        <v>136</v>
      </c>
      <c r="I23" s="7">
        <v>46029</v>
      </c>
    </row>
    <row r="24" spans="1:10" ht="36" customHeight="1" x14ac:dyDescent="0.2">
      <c r="A24" s="34">
        <v>22</v>
      </c>
      <c r="B24" s="34" t="s">
        <v>137</v>
      </c>
      <c r="C24" s="34" t="s">
        <v>143</v>
      </c>
      <c r="D24" s="34" t="s">
        <v>13</v>
      </c>
      <c r="E24" s="3">
        <v>1000</v>
      </c>
      <c r="F24" s="3">
        <v>1000</v>
      </c>
      <c r="G24" s="3" t="s">
        <v>65</v>
      </c>
      <c r="H24" s="4" t="s">
        <v>138</v>
      </c>
      <c r="I24" s="7">
        <v>46029</v>
      </c>
      <c r="J24" s="53" t="s">
        <v>205</v>
      </c>
    </row>
    <row r="25" spans="1:10" ht="36" customHeight="1" x14ac:dyDescent="0.2">
      <c r="A25" s="34">
        <v>23</v>
      </c>
      <c r="B25" s="34" t="s">
        <v>144</v>
      </c>
      <c r="C25" s="34" t="s">
        <v>147</v>
      </c>
      <c r="D25" s="34" t="s">
        <v>14</v>
      </c>
      <c r="E25" s="3">
        <v>7000</v>
      </c>
      <c r="F25" s="3">
        <v>7000</v>
      </c>
      <c r="G25" s="3" t="s">
        <v>65</v>
      </c>
      <c r="H25" s="4" t="s">
        <v>145</v>
      </c>
      <c r="I25" s="7">
        <v>46029</v>
      </c>
    </row>
    <row r="26" spans="1:10" ht="36" customHeight="1" x14ac:dyDescent="0.2">
      <c r="A26" s="34">
        <v>24</v>
      </c>
      <c r="B26" s="34" t="s">
        <v>144</v>
      </c>
      <c r="C26" s="34" t="s">
        <v>147</v>
      </c>
      <c r="D26" s="34" t="s">
        <v>13</v>
      </c>
      <c r="E26" s="3">
        <v>5000</v>
      </c>
      <c r="F26" s="3">
        <v>5000</v>
      </c>
      <c r="G26" s="3" t="s">
        <v>65</v>
      </c>
      <c r="H26" s="4" t="s">
        <v>146</v>
      </c>
      <c r="I26" s="7">
        <v>46029</v>
      </c>
    </row>
    <row r="27" spans="1:10" ht="36" customHeight="1" x14ac:dyDescent="0.2">
      <c r="A27" s="34">
        <v>25</v>
      </c>
      <c r="B27" s="34" t="s">
        <v>148</v>
      </c>
      <c r="C27" s="34" t="s">
        <v>150</v>
      </c>
      <c r="D27" s="34" t="s">
        <v>13</v>
      </c>
      <c r="E27" s="3">
        <v>120850</v>
      </c>
      <c r="F27" s="3">
        <v>120850</v>
      </c>
      <c r="G27" s="3" t="s">
        <v>65</v>
      </c>
      <c r="H27" s="4" t="s">
        <v>149</v>
      </c>
      <c r="I27" s="7">
        <v>46029</v>
      </c>
      <c r="J27" s="53" t="s">
        <v>205</v>
      </c>
    </row>
    <row r="28" spans="1:10" ht="36" customHeight="1" x14ac:dyDescent="0.2">
      <c r="A28" s="34">
        <v>26</v>
      </c>
      <c r="B28" s="34" t="s">
        <v>151</v>
      </c>
      <c r="C28" s="34" t="s">
        <v>152</v>
      </c>
      <c r="D28" s="34" t="s">
        <v>13</v>
      </c>
      <c r="E28" s="3">
        <v>22200</v>
      </c>
      <c r="F28" s="3">
        <v>22200</v>
      </c>
      <c r="G28" s="3" t="s">
        <v>65</v>
      </c>
      <c r="H28" s="4" t="s">
        <v>153</v>
      </c>
      <c r="I28" s="7">
        <v>46030</v>
      </c>
    </row>
    <row r="29" spans="1:10" ht="36" customHeight="1" x14ac:dyDescent="0.2">
      <c r="A29" s="34">
        <v>27</v>
      </c>
      <c r="B29" s="34" t="s">
        <v>154</v>
      </c>
      <c r="C29" s="34" t="s">
        <v>155</v>
      </c>
      <c r="D29" s="34" t="s">
        <v>13</v>
      </c>
      <c r="E29" s="3">
        <v>4500</v>
      </c>
      <c r="F29" s="3">
        <v>4500</v>
      </c>
      <c r="G29" s="3" t="s">
        <v>65</v>
      </c>
      <c r="H29" s="4" t="s">
        <v>156</v>
      </c>
      <c r="I29" s="7">
        <v>46030</v>
      </c>
    </row>
    <row r="30" spans="1:10" ht="36" customHeight="1" x14ac:dyDescent="0.2">
      <c r="A30" s="34">
        <v>28</v>
      </c>
      <c r="B30" s="34" t="s">
        <v>157</v>
      </c>
      <c r="C30" s="34" t="s">
        <v>158</v>
      </c>
      <c r="D30" s="34" t="s">
        <v>13</v>
      </c>
      <c r="E30" s="3">
        <v>31400</v>
      </c>
      <c r="F30" s="3">
        <v>31400</v>
      </c>
      <c r="G30" s="3" t="s">
        <v>65</v>
      </c>
      <c r="H30" s="4" t="s">
        <v>159</v>
      </c>
      <c r="I30" s="7">
        <v>46030</v>
      </c>
    </row>
    <row r="31" spans="1:10" ht="36" customHeight="1" x14ac:dyDescent="0.2">
      <c r="A31" s="34">
        <v>29</v>
      </c>
      <c r="B31" s="34" t="s">
        <v>160</v>
      </c>
      <c r="C31" s="34" t="s">
        <v>161</v>
      </c>
      <c r="D31" s="34" t="s">
        <v>13</v>
      </c>
      <c r="E31" s="3">
        <v>4500</v>
      </c>
      <c r="F31" s="3">
        <v>4500</v>
      </c>
      <c r="G31" s="3" t="s">
        <v>65</v>
      </c>
      <c r="H31" s="4" t="s">
        <v>162</v>
      </c>
      <c r="I31" s="7">
        <v>46030</v>
      </c>
    </row>
    <row r="32" spans="1:10" ht="36" customHeight="1" x14ac:dyDescent="0.2">
      <c r="A32" s="34">
        <v>30</v>
      </c>
      <c r="B32" s="34" t="s">
        <v>163</v>
      </c>
      <c r="C32" s="34" t="s">
        <v>172</v>
      </c>
      <c r="D32" s="34" t="s">
        <v>13</v>
      </c>
      <c r="E32" s="3">
        <v>50000</v>
      </c>
      <c r="F32" s="3">
        <v>50000</v>
      </c>
      <c r="G32" s="3" t="s">
        <v>65</v>
      </c>
      <c r="H32" s="4" t="s">
        <v>164</v>
      </c>
      <c r="I32" s="7">
        <v>46030</v>
      </c>
    </row>
    <row r="33" spans="1:10" ht="36" customHeight="1" x14ac:dyDescent="0.2">
      <c r="A33" s="34">
        <v>31</v>
      </c>
      <c r="B33" s="34" t="s">
        <v>165</v>
      </c>
      <c r="C33" s="34" t="s">
        <v>173</v>
      </c>
      <c r="D33" s="34" t="s">
        <v>13</v>
      </c>
      <c r="E33" s="3">
        <v>10000</v>
      </c>
      <c r="F33" s="3">
        <v>10000</v>
      </c>
      <c r="G33" s="3" t="s">
        <v>65</v>
      </c>
      <c r="H33" s="4" t="s">
        <v>166</v>
      </c>
      <c r="I33" s="7">
        <v>46030</v>
      </c>
    </row>
    <row r="34" spans="1:10" ht="36" customHeight="1" x14ac:dyDescent="0.2">
      <c r="A34" s="34">
        <v>32</v>
      </c>
      <c r="B34" s="34" t="s">
        <v>167</v>
      </c>
      <c r="C34" s="34" t="s">
        <v>174</v>
      </c>
      <c r="D34" s="34" t="s">
        <v>13</v>
      </c>
      <c r="E34" s="3">
        <v>277440</v>
      </c>
      <c r="F34" s="3">
        <v>277440</v>
      </c>
      <c r="G34" s="3" t="s">
        <v>65</v>
      </c>
      <c r="H34" s="4" t="s">
        <v>168</v>
      </c>
      <c r="I34" s="7">
        <v>46030</v>
      </c>
    </row>
    <row r="35" spans="1:10" ht="36" customHeight="1" x14ac:dyDescent="0.2">
      <c r="A35" s="34">
        <v>33</v>
      </c>
      <c r="B35" s="34" t="s">
        <v>169</v>
      </c>
      <c r="C35" s="34" t="s">
        <v>170</v>
      </c>
      <c r="D35" s="34" t="s">
        <v>13</v>
      </c>
      <c r="E35" s="3">
        <v>10000</v>
      </c>
      <c r="F35" s="3">
        <v>10000</v>
      </c>
      <c r="G35" s="3" t="s">
        <v>65</v>
      </c>
      <c r="H35" s="4" t="s">
        <v>171</v>
      </c>
      <c r="I35" s="7">
        <v>46030</v>
      </c>
    </row>
    <row r="36" spans="1:10" ht="36" customHeight="1" x14ac:dyDescent="0.2">
      <c r="A36" s="34">
        <v>34</v>
      </c>
      <c r="B36" s="34" t="s">
        <v>175</v>
      </c>
      <c r="C36" s="34" t="s">
        <v>178</v>
      </c>
      <c r="D36" s="51" t="s">
        <v>105</v>
      </c>
      <c r="E36" s="3">
        <v>100000</v>
      </c>
      <c r="F36" s="3">
        <v>100000</v>
      </c>
      <c r="G36" s="3" t="s">
        <v>65</v>
      </c>
      <c r="H36" s="4" t="s">
        <v>176</v>
      </c>
      <c r="I36" s="7">
        <v>46030</v>
      </c>
      <c r="J36" s="53" t="s">
        <v>205</v>
      </c>
    </row>
    <row r="37" spans="1:10" ht="36" customHeight="1" x14ac:dyDescent="0.2">
      <c r="A37" s="34">
        <v>35</v>
      </c>
      <c r="B37" s="34" t="s">
        <v>175</v>
      </c>
      <c r="C37" s="34" t="s">
        <v>178</v>
      </c>
      <c r="D37" s="51" t="s">
        <v>105</v>
      </c>
      <c r="E37" s="3">
        <v>112000</v>
      </c>
      <c r="F37" s="3">
        <v>112000</v>
      </c>
      <c r="G37" s="3" t="s">
        <v>65</v>
      </c>
      <c r="H37" s="4" t="s">
        <v>177</v>
      </c>
      <c r="I37" s="7">
        <v>46030</v>
      </c>
      <c r="J37" s="53" t="s">
        <v>205</v>
      </c>
    </row>
    <row r="38" spans="1:10" ht="36" customHeight="1" x14ac:dyDescent="0.2">
      <c r="A38" s="34">
        <v>36</v>
      </c>
      <c r="B38" s="34" t="s">
        <v>299</v>
      </c>
      <c r="C38" s="34" t="s">
        <v>300</v>
      </c>
      <c r="D38" s="34" t="s">
        <v>13</v>
      </c>
      <c r="E38" s="3">
        <v>60000</v>
      </c>
      <c r="F38" s="3">
        <v>60000</v>
      </c>
      <c r="G38" s="3" t="s">
        <v>65</v>
      </c>
      <c r="H38" s="4" t="s">
        <v>179</v>
      </c>
      <c r="I38" s="7">
        <v>46030</v>
      </c>
      <c r="J38" s="53" t="s">
        <v>205</v>
      </c>
    </row>
    <row r="39" spans="1:10" ht="36" customHeight="1" x14ac:dyDescent="0.2">
      <c r="A39" s="34">
        <v>37</v>
      </c>
      <c r="B39" s="34" t="s">
        <v>180</v>
      </c>
      <c r="C39" s="34" t="s">
        <v>182</v>
      </c>
      <c r="D39" s="34" t="s">
        <v>13</v>
      </c>
      <c r="E39" s="3">
        <v>80000</v>
      </c>
      <c r="F39" s="3">
        <v>80000</v>
      </c>
      <c r="G39" s="3" t="s">
        <v>65</v>
      </c>
      <c r="H39" s="4" t="s">
        <v>181</v>
      </c>
      <c r="I39" s="7">
        <v>46030</v>
      </c>
    </row>
    <row r="40" spans="1:10" ht="36" customHeight="1" x14ac:dyDescent="0.2">
      <c r="A40" s="34">
        <v>38</v>
      </c>
      <c r="B40" s="34" t="s">
        <v>183</v>
      </c>
      <c r="C40" s="34" t="s">
        <v>184</v>
      </c>
      <c r="D40" s="34" t="s">
        <v>13</v>
      </c>
      <c r="E40" s="3">
        <v>36200</v>
      </c>
      <c r="F40" s="3">
        <v>36200</v>
      </c>
      <c r="G40" s="3" t="s">
        <v>65</v>
      </c>
      <c r="H40" s="4" t="s">
        <v>185</v>
      </c>
      <c r="I40" s="7">
        <v>46030</v>
      </c>
    </row>
    <row r="41" spans="1:10" ht="36" customHeight="1" x14ac:dyDescent="0.2">
      <c r="A41" s="34">
        <v>39</v>
      </c>
      <c r="B41" s="34" t="s">
        <v>186</v>
      </c>
      <c r="C41" s="34" t="s">
        <v>188</v>
      </c>
      <c r="D41" s="34" t="s">
        <v>13</v>
      </c>
      <c r="E41" s="3">
        <v>63680</v>
      </c>
      <c r="F41" s="3">
        <v>63680</v>
      </c>
      <c r="G41" s="3" t="s">
        <v>65</v>
      </c>
      <c r="H41" s="4" t="s">
        <v>187</v>
      </c>
      <c r="I41" s="7">
        <v>46030</v>
      </c>
    </row>
    <row r="42" spans="1:10" ht="36" customHeight="1" x14ac:dyDescent="0.2">
      <c r="A42" s="34">
        <v>40</v>
      </c>
      <c r="B42" s="34" t="s">
        <v>193</v>
      </c>
      <c r="C42" s="34" t="s">
        <v>194</v>
      </c>
      <c r="D42" s="34" t="s">
        <v>13</v>
      </c>
      <c r="E42" s="3">
        <v>170500</v>
      </c>
      <c r="F42" s="3">
        <v>170500</v>
      </c>
      <c r="G42" s="3" t="s">
        <v>65</v>
      </c>
      <c r="H42" s="4" t="s">
        <v>192</v>
      </c>
      <c r="I42" s="7">
        <v>46030</v>
      </c>
    </row>
    <row r="43" spans="1:10" ht="36" customHeight="1" x14ac:dyDescent="0.2">
      <c r="A43" s="34">
        <v>41</v>
      </c>
      <c r="B43" s="34" t="s">
        <v>189</v>
      </c>
      <c r="C43" s="34" t="s">
        <v>190</v>
      </c>
      <c r="D43" s="34" t="s">
        <v>13</v>
      </c>
      <c r="E43" s="3">
        <v>52500</v>
      </c>
      <c r="F43" s="3">
        <v>52500</v>
      </c>
      <c r="G43" s="3" t="s">
        <v>65</v>
      </c>
      <c r="H43" s="4" t="s">
        <v>191</v>
      </c>
      <c r="I43" s="7">
        <v>46032</v>
      </c>
    </row>
    <row r="44" spans="1:10" ht="36" customHeight="1" x14ac:dyDescent="0.2">
      <c r="A44" s="34">
        <v>42</v>
      </c>
      <c r="B44" s="34" t="s">
        <v>239</v>
      </c>
      <c r="C44" s="34" t="s">
        <v>199</v>
      </c>
      <c r="D44" s="34" t="s">
        <v>14</v>
      </c>
      <c r="E44" s="3">
        <v>20000</v>
      </c>
      <c r="F44" s="3">
        <v>20000</v>
      </c>
      <c r="G44" s="3" t="s">
        <v>200</v>
      </c>
      <c r="H44" s="4" t="s">
        <v>201</v>
      </c>
      <c r="I44" s="7">
        <v>46033</v>
      </c>
    </row>
    <row r="45" spans="1:10" ht="36" customHeight="1" x14ac:dyDescent="0.2">
      <c r="A45" s="34">
        <v>43</v>
      </c>
      <c r="B45" s="34" t="s">
        <v>212</v>
      </c>
      <c r="C45" s="34" t="s">
        <v>249</v>
      </c>
      <c r="D45" s="34" t="s">
        <v>13</v>
      </c>
      <c r="E45" s="3">
        <v>66000</v>
      </c>
      <c r="F45" s="3">
        <v>66000</v>
      </c>
      <c r="G45" s="3" t="s">
        <v>65</v>
      </c>
      <c r="H45" s="4" t="s">
        <v>213</v>
      </c>
      <c r="I45" s="7">
        <v>46033</v>
      </c>
    </row>
    <row r="46" spans="1:10" ht="36" customHeight="1" x14ac:dyDescent="0.2">
      <c r="A46" s="34">
        <v>44</v>
      </c>
      <c r="B46" s="34" t="s">
        <v>197</v>
      </c>
      <c r="C46" s="34" t="s">
        <v>242</v>
      </c>
      <c r="D46" s="34" t="s">
        <v>13</v>
      </c>
      <c r="E46" s="3">
        <v>60000</v>
      </c>
      <c r="F46" s="3">
        <v>60000</v>
      </c>
      <c r="G46" s="3" t="s">
        <v>65</v>
      </c>
      <c r="H46" s="4" t="s">
        <v>198</v>
      </c>
      <c r="I46" s="7">
        <v>46034</v>
      </c>
      <c r="J46" s="53" t="s">
        <v>205</v>
      </c>
    </row>
    <row r="47" spans="1:10" ht="36" customHeight="1" x14ac:dyDescent="0.2">
      <c r="A47" s="34">
        <v>45</v>
      </c>
      <c r="B47" s="34" t="s">
        <v>202</v>
      </c>
      <c r="C47" s="34" t="s">
        <v>203</v>
      </c>
      <c r="D47" s="34" t="s">
        <v>13</v>
      </c>
      <c r="E47" s="3">
        <v>36100</v>
      </c>
      <c r="F47" s="3">
        <v>36100</v>
      </c>
      <c r="G47" s="3" t="s">
        <v>65</v>
      </c>
      <c r="H47" s="4" t="s">
        <v>204</v>
      </c>
      <c r="I47" s="7">
        <v>46034</v>
      </c>
      <c r="J47" s="53" t="s">
        <v>205</v>
      </c>
    </row>
    <row r="48" spans="1:10" ht="36" customHeight="1" x14ac:dyDescent="0.2">
      <c r="A48" s="34">
        <v>46</v>
      </c>
      <c r="B48" s="34" t="s">
        <v>206</v>
      </c>
      <c r="C48" s="34" t="s">
        <v>207</v>
      </c>
      <c r="D48" s="34" t="s">
        <v>13</v>
      </c>
      <c r="E48" s="3">
        <v>91528</v>
      </c>
      <c r="F48" s="3">
        <v>91528</v>
      </c>
      <c r="G48" s="3" t="s">
        <v>65</v>
      </c>
      <c r="H48" s="4" t="s">
        <v>208</v>
      </c>
      <c r="I48" s="7">
        <v>46034</v>
      </c>
      <c r="J48" s="53" t="s">
        <v>205</v>
      </c>
    </row>
    <row r="49" spans="1:10" ht="36" customHeight="1" x14ac:dyDescent="0.2">
      <c r="A49" s="34">
        <v>47</v>
      </c>
      <c r="B49" s="34" t="s">
        <v>209</v>
      </c>
      <c r="C49" s="34" t="s">
        <v>250</v>
      </c>
      <c r="D49" s="51" t="s">
        <v>105</v>
      </c>
      <c r="E49" s="3">
        <v>67200</v>
      </c>
      <c r="F49" s="3">
        <v>67200</v>
      </c>
      <c r="G49" s="3" t="s">
        <v>65</v>
      </c>
      <c r="H49" s="4" t="s">
        <v>210</v>
      </c>
      <c r="I49" s="7">
        <v>46034</v>
      </c>
    </row>
    <row r="50" spans="1:10" ht="36" customHeight="1" x14ac:dyDescent="0.2">
      <c r="A50" s="34">
        <v>48</v>
      </c>
      <c r="B50" s="34" t="s">
        <v>209</v>
      </c>
      <c r="C50" s="34" t="s">
        <v>250</v>
      </c>
      <c r="D50" s="51" t="s">
        <v>105</v>
      </c>
      <c r="E50" s="3">
        <v>2200</v>
      </c>
      <c r="F50" s="3">
        <v>2200</v>
      </c>
      <c r="G50" s="3" t="s">
        <v>65</v>
      </c>
      <c r="H50" s="4" t="s">
        <v>211</v>
      </c>
      <c r="I50" s="7">
        <v>46034</v>
      </c>
    </row>
    <row r="51" spans="1:10" ht="36" customHeight="1" x14ac:dyDescent="0.2">
      <c r="A51" s="34">
        <v>49</v>
      </c>
      <c r="B51" s="34" t="s">
        <v>214</v>
      </c>
      <c r="C51" s="34" t="s">
        <v>251</v>
      </c>
      <c r="D51" s="34" t="s">
        <v>13</v>
      </c>
      <c r="E51" s="3">
        <v>120000</v>
      </c>
      <c r="F51" s="3">
        <v>120000</v>
      </c>
      <c r="G51" s="3" t="s">
        <v>65</v>
      </c>
      <c r="H51" s="4" t="s">
        <v>215</v>
      </c>
      <c r="I51" s="7">
        <v>46034</v>
      </c>
    </row>
    <row r="52" spans="1:10" ht="36" customHeight="1" x14ac:dyDescent="0.2">
      <c r="A52" s="34">
        <v>50</v>
      </c>
      <c r="B52" s="34" t="s">
        <v>216</v>
      </c>
      <c r="C52" s="34" t="s">
        <v>252</v>
      </c>
      <c r="D52" s="34" t="s">
        <v>13</v>
      </c>
      <c r="E52" s="3">
        <v>20000</v>
      </c>
      <c r="F52" s="3">
        <v>20000</v>
      </c>
      <c r="G52" s="3" t="s">
        <v>65</v>
      </c>
      <c r="H52" s="4" t="s">
        <v>217</v>
      </c>
      <c r="I52" s="7">
        <v>46034</v>
      </c>
      <c r="J52" s="53" t="s">
        <v>205</v>
      </c>
    </row>
    <row r="53" spans="1:10" ht="36" customHeight="1" x14ac:dyDescent="0.2">
      <c r="A53" s="34">
        <v>51</v>
      </c>
      <c r="B53" s="34" t="s">
        <v>220</v>
      </c>
      <c r="C53" s="34" t="s">
        <v>253</v>
      </c>
      <c r="D53" s="34" t="s">
        <v>13</v>
      </c>
      <c r="E53" s="3">
        <v>40000</v>
      </c>
      <c r="F53" s="3">
        <v>40000</v>
      </c>
      <c r="G53" s="3" t="s">
        <v>65</v>
      </c>
      <c r="H53" s="4" t="s">
        <v>221</v>
      </c>
      <c r="I53" s="7">
        <v>46034</v>
      </c>
      <c r="J53" s="53" t="s">
        <v>205</v>
      </c>
    </row>
    <row r="54" spans="1:10" ht="36" customHeight="1" x14ac:dyDescent="0.2">
      <c r="A54" s="34">
        <v>52</v>
      </c>
      <c r="B54" s="34" t="s">
        <v>222</v>
      </c>
      <c r="C54" s="34" t="s">
        <v>254</v>
      </c>
      <c r="D54" s="34" t="s">
        <v>13</v>
      </c>
      <c r="E54" s="3">
        <v>15000</v>
      </c>
      <c r="F54" s="3">
        <v>15000</v>
      </c>
      <c r="G54" s="3" t="s">
        <v>65</v>
      </c>
      <c r="H54" s="4" t="s">
        <v>223</v>
      </c>
      <c r="I54" s="7">
        <v>46034</v>
      </c>
      <c r="J54" s="9"/>
    </row>
    <row r="55" spans="1:10" ht="36" customHeight="1" x14ac:dyDescent="0.2">
      <c r="A55" s="34">
        <v>53</v>
      </c>
      <c r="B55" s="34" t="s">
        <v>224</v>
      </c>
      <c r="C55" s="34" t="s">
        <v>255</v>
      </c>
      <c r="D55" s="34" t="s">
        <v>13</v>
      </c>
      <c r="E55" s="3">
        <v>25000</v>
      </c>
      <c r="F55" s="3">
        <v>25000</v>
      </c>
      <c r="G55" s="3" t="s">
        <v>65</v>
      </c>
      <c r="H55" s="4" t="s">
        <v>365</v>
      </c>
      <c r="I55" s="7">
        <v>46034</v>
      </c>
      <c r="J55" s="9"/>
    </row>
    <row r="56" spans="1:10" ht="36" customHeight="1" x14ac:dyDescent="0.2">
      <c r="A56" s="34">
        <v>54</v>
      </c>
      <c r="B56" s="34" t="s">
        <v>225</v>
      </c>
      <c r="C56" s="34" t="s">
        <v>256</v>
      </c>
      <c r="D56" s="34" t="s">
        <v>13</v>
      </c>
      <c r="E56" s="3">
        <v>90000</v>
      </c>
      <c r="F56" s="3">
        <v>90000</v>
      </c>
      <c r="G56" s="3" t="s">
        <v>65</v>
      </c>
      <c r="H56" s="4" t="s">
        <v>226</v>
      </c>
      <c r="I56" s="7">
        <v>46034</v>
      </c>
      <c r="J56" s="10"/>
    </row>
    <row r="57" spans="1:10" ht="36" customHeight="1" x14ac:dyDescent="0.2">
      <c r="A57" s="34">
        <v>55</v>
      </c>
      <c r="B57" s="34" t="s">
        <v>227</v>
      </c>
      <c r="C57" s="34" t="s">
        <v>257</v>
      </c>
      <c r="D57" s="34" t="s">
        <v>13</v>
      </c>
      <c r="E57" s="3">
        <v>143000</v>
      </c>
      <c r="F57" s="3">
        <v>143000</v>
      </c>
      <c r="G57" s="3" t="s">
        <v>65</v>
      </c>
      <c r="H57" s="4" t="s">
        <v>228</v>
      </c>
      <c r="I57" s="7">
        <v>46035</v>
      </c>
    </row>
    <row r="58" spans="1:10" ht="36" customHeight="1" x14ac:dyDescent="0.2">
      <c r="A58" s="34">
        <v>56</v>
      </c>
      <c r="B58" s="34" t="s">
        <v>229</v>
      </c>
      <c r="C58" s="34" t="s">
        <v>258</v>
      </c>
      <c r="D58" s="34" t="s">
        <v>13</v>
      </c>
      <c r="E58" s="3">
        <v>65250</v>
      </c>
      <c r="F58" s="3">
        <v>65250</v>
      </c>
      <c r="G58" s="3" t="s">
        <v>65</v>
      </c>
      <c r="H58" s="4" t="s">
        <v>230</v>
      </c>
      <c r="I58" s="7">
        <v>46035</v>
      </c>
    </row>
    <row r="59" spans="1:10" ht="36" customHeight="1" x14ac:dyDescent="0.2">
      <c r="A59" s="34">
        <v>57</v>
      </c>
      <c r="B59" s="34" t="s">
        <v>231</v>
      </c>
      <c r="C59" s="34" t="s">
        <v>262</v>
      </c>
      <c r="D59" s="34" t="s">
        <v>13</v>
      </c>
      <c r="E59" s="3">
        <v>30000</v>
      </c>
      <c r="F59" s="3">
        <v>30000</v>
      </c>
      <c r="G59" s="3" t="s">
        <v>65</v>
      </c>
      <c r="H59" s="4" t="s">
        <v>232</v>
      </c>
      <c r="I59" s="7">
        <v>46035</v>
      </c>
    </row>
    <row r="60" spans="1:10" ht="36" customHeight="1" x14ac:dyDescent="0.2">
      <c r="A60" s="34">
        <v>58</v>
      </c>
      <c r="B60" s="34" t="s">
        <v>233</v>
      </c>
      <c r="C60" s="34" t="s">
        <v>259</v>
      </c>
      <c r="D60" s="34" t="s">
        <v>13</v>
      </c>
      <c r="E60" s="3">
        <v>30000</v>
      </c>
      <c r="F60" s="3">
        <v>30000</v>
      </c>
      <c r="G60" s="3" t="s">
        <v>65</v>
      </c>
      <c r="H60" s="4" t="s">
        <v>234</v>
      </c>
      <c r="I60" s="7">
        <v>46035</v>
      </c>
    </row>
    <row r="61" spans="1:10" ht="36" customHeight="1" x14ac:dyDescent="0.2">
      <c r="A61" s="34">
        <v>59</v>
      </c>
      <c r="B61" s="34" t="s">
        <v>233</v>
      </c>
      <c r="C61" s="34" t="s">
        <v>260</v>
      </c>
      <c r="D61" s="34" t="s">
        <v>13</v>
      </c>
      <c r="E61" s="3">
        <v>28000</v>
      </c>
      <c r="F61" s="3">
        <v>28000</v>
      </c>
      <c r="G61" s="3" t="s">
        <v>65</v>
      </c>
      <c r="H61" s="4" t="s">
        <v>366</v>
      </c>
      <c r="I61" s="7">
        <v>46035</v>
      </c>
    </row>
    <row r="62" spans="1:10" ht="36" customHeight="1" x14ac:dyDescent="0.2">
      <c r="A62" s="34">
        <v>60</v>
      </c>
      <c r="B62" s="34" t="s">
        <v>235</v>
      </c>
      <c r="C62" s="34" t="s">
        <v>261</v>
      </c>
      <c r="D62" s="34" t="s">
        <v>13</v>
      </c>
      <c r="E62" s="3">
        <v>70000</v>
      </c>
      <c r="F62" s="3">
        <v>70000</v>
      </c>
      <c r="G62" s="3" t="s">
        <v>65</v>
      </c>
      <c r="H62" s="4" t="s">
        <v>236</v>
      </c>
      <c r="I62" s="7">
        <v>46035</v>
      </c>
    </row>
    <row r="63" spans="1:10" ht="36" customHeight="1" x14ac:dyDescent="0.2">
      <c r="A63" s="34">
        <v>61</v>
      </c>
      <c r="B63" s="34" t="s">
        <v>237</v>
      </c>
      <c r="C63" s="34" t="s">
        <v>263</v>
      </c>
      <c r="D63" s="34" t="s">
        <v>13</v>
      </c>
      <c r="E63" s="3">
        <v>120000</v>
      </c>
      <c r="F63" s="3">
        <v>120000</v>
      </c>
      <c r="G63" s="3" t="s">
        <v>65</v>
      </c>
      <c r="H63" s="4" t="s">
        <v>238</v>
      </c>
      <c r="I63" s="7">
        <v>46035</v>
      </c>
    </row>
    <row r="64" spans="1:10" ht="36" customHeight="1" x14ac:dyDescent="0.2">
      <c r="A64" s="34">
        <v>62</v>
      </c>
      <c r="B64" s="34" t="s">
        <v>240</v>
      </c>
      <c r="C64" s="34" t="s">
        <v>264</v>
      </c>
      <c r="D64" s="34" t="s">
        <v>13</v>
      </c>
      <c r="E64" s="3">
        <v>56300</v>
      </c>
      <c r="F64" s="3">
        <v>56300</v>
      </c>
      <c r="G64" s="3" t="s">
        <v>65</v>
      </c>
      <c r="H64" s="4" t="s">
        <v>241</v>
      </c>
      <c r="I64" s="7">
        <v>46035</v>
      </c>
    </row>
    <row r="65" spans="1:10" ht="36" customHeight="1" x14ac:dyDescent="0.2">
      <c r="A65" s="34">
        <v>63</v>
      </c>
      <c r="B65" s="34" t="s">
        <v>243</v>
      </c>
      <c r="C65" s="34" t="s">
        <v>265</v>
      </c>
      <c r="D65" s="34" t="s">
        <v>13</v>
      </c>
      <c r="E65" s="3">
        <v>75000</v>
      </c>
      <c r="F65" s="3">
        <v>75000</v>
      </c>
      <c r="G65" s="3" t="s">
        <v>65</v>
      </c>
      <c r="H65" s="4" t="s">
        <v>244</v>
      </c>
      <c r="I65" s="7">
        <v>46035</v>
      </c>
    </row>
    <row r="66" spans="1:10" ht="36" customHeight="1" x14ac:dyDescent="0.2">
      <c r="A66" s="34">
        <v>64</v>
      </c>
      <c r="B66" s="34" t="s">
        <v>245</v>
      </c>
      <c r="C66" s="34" t="s">
        <v>266</v>
      </c>
      <c r="D66" s="34" t="s">
        <v>13</v>
      </c>
      <c r="E66" s="3">
        <v>10000</v>
      </c>
      <c r="F66" s="3">
        <v>10000</v>
      </c>
      <c r="G66" s="3" t="s">
        <v>65</v>
      </c>
      <c r="H66" s="4" t="s">
        <v>246</v>
      </c>
      <c r="I66" s="7">
        <v>46035</v>
      </c>
    </row>
    <row r="67" spans="1:10" ht="36" customHeight="1" x14ac:dyDescent="0.2">
      <c r="A67" s="34">
        <v>65</v>
      </c>
      <c r="B67" s="34" t="s">
        <v>247</v>
      </c>
      <c r="C67" s="34" t="s">
        <v>267</v>
      </c>
      <c r="D67" s="34" t="s">
        <v>13</v>
      </c>
      <c r="E67" s="3">
        <v>19900</v>
      </c>
      <c r="F67" s="3">
        <v>19900</v>
      </c>
      <c r="G67" s="3" t="s">
        <v>65</v>
      </c>
      <c r="H67" s="4" t="s">
        <v>248</v>
      </c>
      <c r="I67" s="7">
        <v>46035</v>
      </c>
    </row>
    <row r="68" spans="1:10" ht="36" customHeight="1" x14ac:dyDescent="0.2">
      <c r="A68" s="34">
        <v>66</v>
      </c>
      <c r="B68" s="34" t="s">
        <v>268</v>
      </c>
      <c r="C68" s="34" t="s">
        <v>275</v>
      </c>
      <c r="D68" s="34" t="s">
        <v>13</v>
      </c>
      <c r="E68" s="3">
        <v>23000</v>
      </c>
      <c r="F68" s="3">
        <v>23000</v>
      </c>
      <c r="G68" s="3" t="s">
        <v>65</v>
      </c>
      <c r="H68" s="4" t="s">
        <v>269</v>
      </c>
      <c r="I68" s="7">
        <v>46035</v>
      </c>
    </row>
    <row r="69" spans="1:10" ht="36" customHeight="1" x14ac:dyDescent="0.2">
      <c r="A69" s="34">
        <v>67</v>
      </c>
      <c r="B69" s="34" t="s">
        <v>270</v>
      </c>
      <c r="C69" s="34" t="s">
        <v>277</v>
      </c>
      <c r="D69" s="34" t="s">
        <v>13</v>
      </c>
      <c r="E69" s="3">
        <v>41310</v>
      </c>
      <c r="F69" s="3">
        <v>41310</v>
      </c>
      <c r="G69" s="3" t="s">
        <v>65</v>
      </c>
      <c r="H69" s="4" t="s">
        <v>271</v>
      </c>
      <c r="I69" s="7">
        <v>46035</v>
      </c>
    </row>
    <row r="70" spans="1:10" ht="36" customHeight="1" x14ac:dyDescent="0.2">
      <c r="A70" s="34">
        <v>68</v>
      </c>
      <c r="B70" s="34" t="s">
        <v>272</v>
      </c>
      <c r="C70" s="34" t="s">
        <v>276</v>
      </c>
      <c r="D70" s="34" t="s">
        <v>14</v>
      </c>
      <c r="E70" s="3">
        <v>11500</v>
      </c>
      <c r="F70" s="3">
        <v>11500</v>
      </c>
      <c r="G70" s="3" t="s">
        <v>65</v>
      </c>
      <c r="H70" s="4" t="s">
        <v>273</v>
      </c>
      <c r="I70" s="7">
        <v>46035</v>
      </c>
    </row>
    <row r="71" spans="1:10" ht="36" customHeight="1" x14ac:dyDescent="0.2">
      <c r="A71" s="34">
        <v>69</v>
      </c>
      <c r="B71" s="34" t="s">
        <v>272</v>
      </c>
      <c r="C71" s="34" t="s">
        <v>276</v>
      </c>
      <c r="D71" s="34" t="s">
        <v>13</v>
      </c>
      <c r="E71" s="3">
        <v>49280</v>
      </c>
      <c r="F71" s="3">
        <v>49280</v>
      </c>
      <c r="G71" s="3" t="s">
        <v>65</v>
      </c>
      <c r="H71" s="4" t="s">
        <v>274</v>
      </c>
      <c r="I71" s="7">
        <v>46035</v>
      </c>
    </row>
    <row r="72" spans="1:10" ht="36" customHeight="1" x14ac:dyDescent="0.2">
      <c r="A72" s="34">
        <v>70</v>
      </c>
      <c r="B72" s="34" t="s">
        <v>278</v>
      </c>
      <c r="C72" s="34" t="s">
        <v>280</v>
      </c>
      <c r="D72" s="34" t="s">
        <v>13</v>
      </c>
      <c r="E72" s="3">
        <v>5000</v>
      </c>
      <c r="F72" s="3">
        <v>5000</v>
      </c>
      <c r="G72" s="3" t="s">
        <v>65</v>
      </c>
      <c r="H72" s="4" t="s">
        <v>279</v>
      </c>
      <c r="I72" s="7">
        <v>46035</v>
      </c>
    </row>
    <row r="73" spans="1:10" ht="36" customHeight="1" x14ac:dyDescent="0.2">
      <c r="A73" s="34">
        <v>71</v>
      </c>
      <c r="B73" s="34" t="s">
        <v>281</v>
      </c>
      <c r="C73" s="34" t="s">
        <v>293</v>
      </c>
      <c r="D73" s="34" t="s">
        <v>13</v>
      </c>
      <c r="E73" s="3">
        <v>120000</v>
      </c>
      <c r="F73" s="3">
        <v>120000</v>
      </c>
      <c r="G73" s="3" t="s">
        <v>65</v>
      </c>
      <c r="H73" s="4" t="s">
        <v>282</v>
      </c>
      <c r="I73" s="7">
        <v>46036</v>
      </c>
    </row>
    <row r="74" spans="1:10" ht="36" customHeight="1" x14ac:dyDescent="0.2">
      <c r="A74" s="34">
        <v>72</v>
      </c>
      <c r="B74" s="34" t="s">
        <v>283</v>
      </c>
      <c r="C74" s="34" t="s">
        <v>294</v>
      </c>
      <c r="D74" s="34" t="s">
        <v>13</v>
      </c>
      <c r="E74" s="3">
        <v>50000</v>
      </c>
      <c r="F74" s="3">
        <v>50000</v>
      </c>
      <c r="G74" s="3" t="s">
        <v>65</v>
      </c>
      <c r="H74" s="4" t="s">
        <v>284</v>
      </c>
      <c r="I74" s="7">
        <v>46036</v>
      </c>
      <c r="J74" s="53" t="s">
        <v>205</v>
      </c>
    </row>
    <row r="75" spans="1:10" ht="36" customHeight="1" x14ac:dyDescent="0.2">
      <c r="A75" s="34">
        <v>73</v>
      </c>
      <c r="B75" s="34" t="s">
        <v>285</v>
      </c>
      <c r="C75" s="34" t="s">
        <v>295</v>
      </c>
      <c r="D75" s="34" t="s">
        <v>13</v>
      </c>
      <c r="E75" s="3">
        <v>3000</v>
      </c>
      <c r="F75" s="3">
        <v>3000</v>
      </c>
      <c r="G75" s="3" t="s">
        <v>65</v>
      </c>
      <c r="H75" s="4" t="s">
        <v>286</v>
      </c>
      <c r="I75" s="7">
        <v>46036</v>
      </c>
    </row>
    <row r="76" spans="1:10" ht="36" customHeight="1" x14ac:dyDescent="0.2">
      <c r="A76" s="34">
        <v>74</v>
      </c>
      <c r="B76" s="34" t="s">
        <v>287</v>
      </c>
      <c r="C76" s="34" t="s">
        <v>296</v>
      </c>
      <c r="D76" s="34" t="s">
        <v>13</v>
      </c>
      <c r="E76" s="3">
        <v>20000</v>
      </c>
      <c r="F76" s="3">
        <v>20000</v>
      </c>
      <c r="G76" s="3" t="s">
        <v>65</v>
      </c>
      <c r="H76" s="4" t="s">
        <v>288</v>
      </c>
      <c r="I76" s="7">
        <v>46036</v>
      </c>
    </row>
    <row r="77" spans="1:10" ht="36" customHeight="1" x14ac:dyDescent="0.2">
      <c r="A77" s="34">
        <v>75</v>
      </c>
      <c r="B77" s="34" t="s">
        <v>289</v>
      </c>
      <c r="C77" s="34" t="s">
        <v>297</v>
      </c>
      <c r="D77" s="34" t="s">
        <v>13</v>
      </c>
      <c r="E77" s="3">
        <v>30000</v>
      </c>
      <c r="F77" s="3">
        <v>30000</v>
      </c>
      <c r="G77" s="3" t="s">
        <v>65</v>
      </c>
      <c r="H77" s="4" t="s">
        <v>290</v>
      </c>
      <c r="I77" s="7">
        <v>46036</v>
      </c>
    </row>
    <row r="78" spans="1:10" ht="36" customHeight="1" x14ac:dyDescent="0.2">
      <c r="A78" s="34">
        <v>76</v>
      </c>
      <c r="B78" s="34" t="s">
        <v>291</v>
      </c>
      <c r="C78" s="34" t="s">
        <v>298</v>
      </c>
      <c r="D78" s="34" t="s">
        <v>13</v>
      </c>
      <c r="E78" s="3">
        <v>14000</v>
      </c>
      <c r="F78" s="3">
        <v>14000</v>
      </c>
      <c r="G78" s="3" t="s">
        <v>65</v>
      </c>
      <c r="H78" s="4" t="s">
        <v>292</v>
      </c>
      <c r="I78" s="7">
        <v>46036</v>
      </c>
    </row>
    <row r="79" spans="1:10" ht="36" customHeight="1" x14ac:dyDescent="0.2">
      <c r="A79" s="34">
        <v>77</v>
      </c>
      <c r="B79" s="34" t="s">
        <v>304</v>
      </c>
      <c r="C79" s="34" t="s">
        <v>301</v>
      </c>
      <c r="D79" s="34" t="s">
        <v>13</v>
      </c>
      <c r="E79" s="3">
        <v>115000</v>
      </c>
      <c r="F79" s="3">
        <v>115000</v>
      </c>
      <c r="G79" s="3" t="s">
        <v>65</v>
      </c>
      <c r="H79" s="4" t="s">
        <v>302</v>
      </c>
      <c r="I79" s="7">
        <v>46037</v>
      </c>
    </row>
    <row r="80" spans="1:10" ht="36" customHeight="1" x14ac:dyDescent="0.2">
      <c r="A80" s="34">
        <v>78</v>
      </c>
      <c r="B80" s="34" t="s">
        <v>308</v>
      </c>
      <c r="C80" s="34" t="s">
        <v>314</v>
      </c>
      <c r="D80" s="34" t="s">
        <v>13</v>
      </c>
      <c r="E80" s="3">
        <v>10000</v>
      </c>
      <c r="F80" s="3">
        <v>10000</v>
      </c>
      <c r="G80" s="3" t="s">
        <v>65</v>
      </c>
      <c r="H80" s="4" t="s">
        <v>309</v>
      </c>
      <c r="I80" s="7">
        <v>46037</v>
      </c>
    </row>
    <row r="81" spans="1:10" ht="36" customHeight="1" x14ac:dyDescent="0.2">
      <c r="A81" s="34">
        <v>79</v>
      </c>
      <c r="B81" s="34" t="s">
        <v>310</v>
      </c>
      <c r="C81" s="57" t="s">
        <v>315</v>
      </c>
      <c r="D81" s="34" t="s">
        <v>13</v>
      </c>
      <c r="E81" s="3">
        <v>110000</v>
      </c>
      <c r="F81" s="3">
        <v>110000</v>
      </c>
      <c r="G81" s="3" t="s">
        <v>65</v>
      </c>
      <c r="H81" s="4" t="s">
        <v>311</v>
      </c>
      <c r="I81" s="7">
        <v>46037</v>
      </c>
    </row>
    <row r="82" spans="1:10" ht="36" customHeight="1" x14ac:dyDescent="0.2">
      <c r="A82" s="34">
        <v>80</v>
      </c>
      <c r="B82" s="34" t="s">
        <v>312</v>
      </c>
      <c r="C82" s="34" t="s">
        <v>316</v>
      </c>
      <c r="D82" s="34" t="s">
        <v>13</v>
      </c>
      <c r="E82" s="3">
        <v>16320</v>
      </c>
      <c r="F82" s="3">
        <v>16320</v>
      </c>
      <c r="G82" s="3" t="s">
        <v>65</v>
      </c>
      <c r="H82" s="4" t="s">
        <v>313</v>
      </c>
      <c r="I82" s="7">
        <v>46037</v>
      </c>
    </row>
    <row r="83" spans="1:10" ht="36" customHeight="1" x14ac:dyDescent="0.2">
      <c r="A83" s="34">
        <v>81</v>
      </c>
      <c r="B83" s="34" t="s">
        <v>317</v>
      </c>
      <c r="C83" s="34" t="s">
        <v>318</v>
      </c>
      <c r="D83" s="34" t="s">
        <v>13</v>
      </c>
      <c r="E83" s="3" t="s">
        <v>319</v>
      </c>
      <c r="F83" s="3" t="s">
        <v>319</v>
      </c>
      <c r="G83" s="3" t="s">
        <v>65</v>
      </c>
      <c r="H83" s="4" t="s">
        <v>320</v>
      </c>
      <c r="I83" s="7">
        <v>46039</v>
      </c>
      <c r="J83" s="53" t="s">
        <v>205</v>
      </c>
    </row>
    <row r="84" spans="1:10" ht="36" customHeight="1" x14ac:dyDescent="0.2">
      <c r="A84" s="34">
        <v>82</v>
      </c>
      <c r="B84" s="34" t="s">
        <v>321</v>
      </c>
      <c r="C84" s="34" t="s">
        <v>340</v>
      </c>
      <c r="D84" s="34" t="s">
        <v>13</v>
      </c>
      <c r="E84" s="3">
        <v>110000</v>
      </c>
      <c r="F84" s="3">
        <v>110000</v>
      </c>
      <c r="G84" s="3" t="s">
        <v>65</v>
      </c>
      <c r="H84" s="4" t="s">
        <v>322</v>
      </c>
      <c r="I84" s="7">
        <v>46039</v>
      </c>
    </row>
    <row r="85" spans="1:10" ht="36" customHeight="1" x14ac:dyDescent="0.2">
      <c r="A85" s="34">
        <v>83</v>
      </c>
      <c r="B85" s="34" t="s">
        <v>323</v>
      </c>
      <c r="C85" s="34" t="s">
        <v>341</v>
      </c>
      <c r="D85" s="34" t="s">
        <v>13</v>
      </c>
      <c r="E85" s="3">
        <v>41000</v>
      </c>
      <c r="F85" s="3">
        <v>41000</v>
      </c>
      <c r="G85" s="3" t="s">
        <v>65</v>
      </c>
      <c r="H85" s="4" t="s">
        <v>324</v>
      </c>
      <c r="I85" s="7">
        <v>46039</v>
      </c>
    </row>
    <row r="86" spans="1:10" ht="36" customHeight="1" x14ac:dyDescent="0.2">
      <c r="A86" s="34">
        <v>84</v>
      </c>
      <c r="B86" s="34" t="s">
        <v>326</v>
      </c>
      <c r="C86" s="34" t="s">
        <v>342</v>
      </c>
      <c r="D86" s="34" t="s">
        <v>13</v>
      </c>
      <c r="E86" s="3">
        <v>55000</v>
      </c>
      <c r="F86" s="3">
        <v>55000</v>
      </c>
      <c r="G86" s="3" t="s">
        <v>65</v>
      </c>
      <c r="H86" s="4" t="s">
        <v>327</v>
      </c>
      <c r="I86" s="7">
        <v>46039</v>
      </c>
    </row>
    <row r="87" spans="1:10" ht="36" customHeight="1" x14ac:dyDescent="0.2">
      <c r="A87" s="34">
        <v>85</v>
      </c>
      <c r="B87" s="34" t="s">
        <v>328</v>
      </c>
      <c r="C87" s="34" t="s">
        <v>343</v>
      </c>
      <c r="D87" s="34" t="s">
        <v>13</v>
      </c>
      <c r="E87" s="3">
        <v>97000</v>
      </c>
      <c r="F87" s="3">
        <v>97000</v>
      </c>
      <c r="G87" s="3" t="s">
        <v>65</v>
      </c>
      <c r="H87" s="4" t="s">
        <v>329</v>
      </c>
      <c r="I87" s="7">
        <v>46039</v>
      </c>
    </row>
    <row r="88" spans="1:10" ht="36" customHeight="1" x14ac:dyDescent="0.2">
      <c r="A88" s="34">
        <v>86</v>
      </c>
      <c r="B88" s="34" t="s">
        <v>330</v>
      </c>
      <c r="C88" s="34" t="s">
        <v>344</v>
      </c>
      <c r="D88" s="34" t="s">
        <v>13</v>
      </c>
      <c r="E88" s="3">
        <v>30000</v>
      </c>
      <c r="F88" s="3">
        <v>30000</v>
      </c>
      <c r="G88" s="3" t="s">
        <v>65</v>
      </c>
      <c r="H88" s="4" t="s">
        <v>331</v>
      </c>
      <c r="I88" s="7">
        <v>46039</v>
      </c>
    </row>
    <row r="89" spans="1:10" ht="36" customHeight="1" x14ac:dyDescent="0.2">
      <c r="A89" s="34">
        <v>87</v>
      </c>
      <c r="B89" s="34" t="s">
        <v>332</v>
      </c>
      <c r="C89" s="34" t="s">
        <v>345</v>
      </c>
      <c r="D89" s="34" t="s">
        <v>13</v>
      </c>
      <c r="E89" s="3">
        <v>45100</v>
      </c>
      <c r="F89" s="3">
        <v>45100</v>
      </c>
      <c r="G89" s="3" t="s">
        <v>65</v>
      </c>
      <c r="H89" s="4" t="s">
        <v>333</v>
      </c>
      <c r="I89" s="7">
        <v>46039</v>
      </c>
    </row>
    <row r="90" spans="1:10" ht="36" customHeight="1" x14ac:dyDescent="0.2">
      <c r="A90" s="34">
        <v>88</v>
      </c>
      <c r="B90" s="34" t="s">
        <v>336</v>
      </c>
      <c r="C90" s="57" t="s">
        <v>346</v>
      </c>
      <c r="D90" s="34" t="s">
        <v>13</v>
      </c>
      <c r="E90" s="3">
        <v>71500</v>
      </c>
      <c r="F90" s="3">
        <v>71500</v>
      </c>
      <c r="G90" s="3" t="s">
        <v>65</v>
      </c>
      <c r="H90" s="4" t="s">
        <v>337</v>
      </c>
      <c r="I90" s="7">
        <v>46039</v>
      </c>
    </row>
    <row r="91" spans="1:10" ht="36" customHeight="1" x14ac:dyDescent="0.2">
      <c r="A91" s="34">
        <v>89</v>
      </c>
      <c r="B91" s="34" t="s">
        <v>338</v>
      </c>
      <c r="C91" s="57" t="s">
        <v>347</v>
      </c>
      <c r="D91" s="34" t="s">
        <v>13</v>
      </c>
      <c r="E91" s="3">
        <v>25000</v>
      </c>
      <c r="F91" s="3">
        <v>25000</v>
      </c>
      <c r="G91" s="3" t="s">
        <v>65</v>
      </c>
      <c r="H91" s="4" t="s">
        <v>339</v>
      </c>
      <c r="I91" s="7">
        <v>46039</v>
      </c>
    </row>
    <row r="92" spans="1:10" ht="36" customHeight="1" x14ac:dyDescent="0.2">
      <c r="A92" s="34">
        <v>90</v>
      </c>
      <c r="B92" s="34" t="s">
        <v>356</v>
      </c>
      <c r="C92" s="34" t="s">
        <v>360</v>
      </c>
      <c r="D92" s="34" t="s">
        <v>13</v>
      </c>
      <c r="E92" s="3">
        <v>20000</v>
      </c>
      <c r="F92" s="3">
        <v>20000</v>
      </c>
      <c r="G92" s="3" t="s">
        <v>65</v>
      </c>
      <c r="H92" s="4" t="s">
        <v>357</v>
      </c>
      <c r="I92" s="7">
        <v>46040</v>
      </c>
    </row>
    <row r="93" spans="1:10" ht="36" customHeight="1" x14ac:dyDescent="0.2">
      <c r="A93" s="34">
        <v>91</v>
      </c>
      <c r="B93" s="34" t="s">
        <v>358</v>
      </c>
      <c r="C93" s="34" t="s">
        <v>361</v>
      </c>
      <c r="D93" s="34" t="s">
        <v>13</v>
      </c>
      <c r="E93" s="3">
        <v>19500</v>
      </c>
      <c r="F93" s="3">
        <v>19500</v>
      </c>
      <c r="G93" s="3" t="s">
        <v>65</v>
      </c>
      <c r="H93" s="4" t="s">
        <v>359</v>
      </c>
      <c r="I93" s="7">
        <v>46040</v>
      </c>
    </row>
    <row r="94" spans="1:10" ht="36" customHeight="1" x14ac:dyDescent="0.2">
      <c r="A94" s="34">
        <v>92</v>
      </c>
      <c r="B94" s="34" t="s">
        <v>367</v>
      </c>
      <c r="C94" s="34" t="s">
        <v>369</v>
      </c>
      <c r="D94" s="34" t="s">
        <v>13</v>
      </c>
      <c r="E94" s="3">
        <v>20120</v>
      </c>
      <c r="F94" s="3">
        <v>20120</v>
      </c>
      <c r="G94" s="3" t="s">
        <v>65</v>
      </c>
      <c r="H94" s="4" t="s">
        <v>368</v>
      </c>
      <c r="I94" s="7">
        <v>46041</v>
      </c>
    </row>
    <row r="95" spans="1:10" ht="36" customHeight="1" x14ac:dyDescent="0.2">
      <c r="A95" s="34">
        <v>93</v>
      </c>
      <c r="B95" s="34" t="s">
        <v>370</v>
      </c>
      <c r="C95" s="34" t="s">
        <v>372</v>
      </c>
      <c r="D95" s="34" t="s">
        <v>13</v>
      </c>
      <c r="E95" s="3">
        <v>30000</v>
      </c>
      <c r="F95" s="3">
        <v>30000</v>
      </c>
      <c r="G95" s="3" t="s">
        <v>65</v>
      </c>
      <c r="H95" s="4" t="s">
        <v>371</v>
      </c>
      <c r="I95" s="7">
        <v>46041</v>
      </c>
    </row>
    <row r="96" spans="1:10" ht="36" customHeight="1" x14ac:dyDescent="0.2">
      <c r="A96" s="34">
        <v>94</v>
      </c>
      <c r="B96" s="34" t="s">
        <v>373</v>
      </c>
      <c r="C96" s="34" t="s">
        <v>396</v>
      </c>
      <c r="D96" s="34" t="s">
        <v>13</v>
      </c>
      <c r="E96" s="3">
        <v>456000</v>
      </c>
      <c r="F96" s="3">
        <v>456000</v>
      </c>
      <c r="G96" s="3" t="s">
        <v>65</v>
      </c>
      <c r="H96" s="4" t="s">
        <v>374</v>
      </c>
      <c r="I96" s="7">
        <v>46041</v>
      </c>
    </row>
    <row r="97" spans="1:9" ht="36" customHeight="1" x14ac:dyDescent="0.2">
      <c r="A97" s="34">
        <v>95</v>
      </c>
      <c r="B97" s="34" t="s">
        <v>373</v>
      </c>
      <c r="C97" s="34" t="s">
        <v>396</v>
      </c>
      <c r="D97" s="34" t="s">
        <v>13</v>
      </c>
      <c r="E97" s="3">
        <v>40000</v>
      </c>
      <c r="F97" s="3">
        <v>40000</v>
      </c>
      <c r="G97" s="3" t="s">
        <v>65</v>
      </c>
      <c r="H97" s="4" t="s">
        <v>375</v>
      </c>
      <c r="I97" s="7">
        <v>46041</v>
      </c>
    </row>
    <row r="98" spans="1:9" ht="36" customHeight="1" x14ac:dyDescent="0.2">
      <c r="A98" s="34">
        <v>96</v>
      </c>
      <c r="B98" s="34" t="s">
        <v>376</v>
      </c>
      <c r="C98" s="34" t="s">
        <v>397</v>
      </c>
      <c r="D98" s="34" t="s">
        <v>13</v>
      </c>
      <c r="E98" s="3">
        <v>13000</v>
      </c>
      <c r="F98" s="3">
        <v>13000</v>
      </c>
      <c r="G98" s="3" t="s">
        <v>65</v>
      </c>
      <c r="H98" s="4" t="s">
        <v>377</v>
      </c>
      <c r="I98" s="7">
        <v>46041</v>
      </c>
    </row>
    <row r="99" spans="1:9" ht="36" customHeight="1" x14ac:dyDescent="0.2">
      <c r="A99" s="34">
        <v>97</v>
      </c>
      <c r="B99" s="34" t="s">
        <v>378</v>
      </c>
      <c r="C99" s="57" t="s">
        <v>398</v>
      </c>
      <c r="D99" s="34" t="s">
        <v>13</v>
      </c>
      <c r="E99" s="3">
        <v>60000</v>
      </c>
      <c r="F99" s="3">
        <v>60000</v>
      </c>
      <c r="G99" s="3" t="s">
        <v>65</v>
      </c>
      <c r="H99" s="4" t="s">
        <v>379</v>
      </c>
      <c r="I99" s="7">
        <v>46041</v>
      </c>
    </row>
    <row r="100" spans="1:9" ht="36" customHeight="1" x14ac:dyDescent="0.2">
      <c r="A100" s="34">
        <v>98</v>
      </c>
      <c r="B100" s="34" t="s">
        <v>380</v>
      </c>
      <c r="C100" s="34" t="s">
        <v>401</v>
      </c>
      <c r="D100" s="34" t="s">
        <v>13</v>
      </c>
      <c r="E100" s="3">
        <v>36800</v>
      </c>
      <c r="F100" s="3">
        <v>36800</v>
      </c>
      <c r="G100" s="3" t="s">
        <v>65</v>
      </c>
      <c r="H100" s="4" t="s">
        <v>381</v>
      </c>
      <c r="I100" s="7">
        <v>46041</v>
      </c>
    </row>
    <row r="101" spans="1:9" ht="36" customHeight="1" x14ac:dyDescent="0.2">
      <c r="A101" s="34">
        <v>99</v>
      </c>
      <c r="B101" s="34" t="s">
        <v>382</v>
      </c>
      <c r="C101" s="34" t="s">
        <v>402</v>
      </c>
      <c r="D101" s="34" t="s">
        <v>13</v>
      </c>
      <c r="E101" s="3">
        <v>80000</v>
      </c>
      <c r="F101" s="3">
        <v>80000</v>
      </c>
      <c r="G101" s="3" t="s">
        <v>65</v>
      </c>
      <c r="H101" s="4" t="s">
        <v>383</v>
      </c>
      <c r="I101" s="7">
        <v>46041</v>
      </c>
    </row>
    <row r="102" spans="1:9" ht="36" customHeight="1" x14ac:dyDescent="0.2">
      <c r="A102" s="34">
        <v>100</v>
      </c>
      <c r="B102" s="34" t="s">
        <v>384</v>
      </c>
      <c r="C102" s="34" t="s">
        <v>408</v>
      </c>
      <c r="D102" s="34" t="s">
        <v>13</v>
      </c>
      <c r="E102" s="3">
        <v>135000</v>
      </c>
      <c r="F102" s="3">
        <v>135000</v>
      </c>
      <c r="G102" s="3" t="s">
        <v>65</v>
      </c>
      <c r="H102" s="4" t="s">
        <v>385</v>
      </c>
      <c r="I102" s="7">
        <v>46041</v>
      </c>
    </row>
    <row r="103" spans="1:9" ht="36" customHeight="1" x14ac:dyDescent="0.2">
      <c r="A103" s="34">
        <v>101</v>
      </c>
      <c r="B103" s="34" t="s">
        <v>386</v>
      </c>
      <c r="C103" s="34" t="s">
        <v>409</v>
      </c>
      <c r="D103" s="34" t="s">
        <v>13</v>
      </c>
      <c r="E103" s="3">
        <v>2400</v>
      </c>
      <c r="F103" s="3">
        <v>2400</v>
      </c>
      <c r="G103" s="3" t="s">
        <v>65</v>
      </c>
      <c r="H103" s="4" t="s">
        <v>387</v>
      </c>
      <c r="I103" s="7">
        <v>46041</v>
      </c>
    </row>
    <row r="104" spans="1:9" ht="36" customHeight="1" x14ac:dyDescent="0.2">
      <c r="A104" s="34">
        <v>102</v>
      </c>
      <c r="B104" s="34" t="s">
        <v>388</v>
      </c>
      <c r="C104" s="34" t="s">
        <v>410</v>
      </c>
      <c r="D104" s="34" t="s">
        <v>13</v>
      </c>
      <c r="E104" s="3">
        <v>70000</v>
      </c>
      <c r="F104" s="3">
        <v>70000</v>
      </c>
      <c r="G104" s="3" t="s">
        <v>65</v>
      </c>
      <c r="H104" s="4" t="s">
        <v>389</v>
      </c>
      <c r="I104" s="7">
        <v>46041</v>
      </c>
    </row>
    <row r="105" spans="1:9" ht="36" customHeight="1" x14ac:dyDescent="0.2">
      <c r="A105" s="34">
        <v>103</v>
      </c>
      <c r="B105" s="34" t="s">
        <v>390</v>
      </c>
      <c r="C105" s="34" t="s">
        <v>411</v>
      </c>
      <c r="D105" s="34" t="s">
        <v>13</v>
      </c>
      <c r="E105" s="3">
        <v>35000</v>
      </c>
      <c r="F105" s="3">
        <v>35000</v>
      </c>
      <c r="G105" s="3" t="s">
        <v>65</v>
      </c>
      <c r="H105" s="4" t="s">
        <v>391</v>
      </c>
      <c r="I105" s="7">
        <v>46041</v>
      </c>
    </row>
    <row r="106" spans="1:9" ht="36" customHeight="1" x14ac:dyDescent="0.2">
      <c r="A106" s="34">
        <v>104</v>
      </c>
      <c r="B106" s="34" t="s">
        <v>392</v>
      </c>
      <c r="C106" s="34" t="s">
        <v>412</v>
      </c>
      <c r="D106" s="34" t="s">
        <v>13</v>
      </c>
      <c r="E106" s="3">
        <v>20000</v>
      </c>
      <c r="F106" s="3">
        <v>20000</v>
      </c>
      <c r="G106" s="3" t="s">
        <v>65</v>
      </c>
      <c r="H106" s="4" t="s">
        <v>393</v>
      </c>
      <c r="I106" s="7">
        <v>46041</v>
      </c>
    </row>
    <row r="107" spans="1:9" ht="36" customHeight="1" x14ac:dyDescent="0.2">
      <c r="A107" s="34">
        <v>105</v>
      </c>
      <c r="B107" s="34" t="s">
        <v>394</v>
      </c>
      <c r="C107" s="34" t="s">
        <v>413</v>
      </c>
      <c r="D107" s="34" t="s">
        <v>13</v>
      </c>
      <c r="E107" s="3">
        <v>20000</v>
      </c>
      <c r="F107" s="3">
        <v>20000</v>
      </c>
      <c r="G107" s="3" t="s">
        <v>65</v>
      </c>
      <c r="H107" s="4" t="s">
        <v>395</v>
      </c>
      <c r="I107" s="7">
        <v>46041</v>
      </c>
    </row>
    <row r="108" spans="1:9" ht="36" customHeight="1" x14ac:dyDescent="0.2">
      <c r="A108" s="34">
        <v>106</v>
      </c>
      <c r="B108" s="34" t="s">
        <v>399</v>
      </c>
      <c r="C108" s="57" t="s">
        <v>414</v>
      </c>
      <c r="D108" s="34" t="s">
        <v>13</v>
      </c>
      <c r="E108" s="3">
        <v>25000</v>
      </c>
      <c r="F108" s="3">
        <v>25000</v>
      </c>
      <c r="G108" s="3" t="s">
        <v>65</v>
      </c>
      <c r="H108" s="4" t="s">
        <v>400</v>
      </c>
      <c r="I108" s="7">
        <v>46041</v>
      </c>
    </row>
    <row r="109" spans="1:9" ht="36" customHeight="1" x14ac:dyDescent="0.2">
      <c r="A109" s="34">
        <v>107</v>
      </c>
      <c r="B109" s="34" t="s">
        <v>406</v>
      </c>
      <c r="C109" s="34" t="s">
        <v>407</v>
      </c>
      <c r="D109" s="34" t="s">
        <v>13</v>
      </c>
      <c r="E109" s="3">
        <v>30000</v>
      </c>
      <c r="F109" s="3">
        <v>30000</v>
      </c>
      <c r="G109" s="3" t="s">
        <v>65</v>
      </c>
      <c r="H109" s="4" t="s">
        <v>403</v>
      </c>
      <c r="I109" s="7">
        <v>46041</v>
      </c>
    </row>
    <row r="110" spans="1:9" ht="36" customHeight="1" x14ac:dyDescent="0.2">
      <c r="A110" s="34">
        <v>108</v>
      </c>
      <c r="B110" s="34" t="s">
        <v>405</v>
      </c>
      <c r="C110" s="34" t="s">
        <v>415</v>
      </c>
      <c r="D110" s="34" t="s">
        <v>13</v>
      </c>
      <c r="E110" s="3">
        <v>38000</v>
      </c>
      <c r="F110" s="3">
        <v>38000</v>
      </c>
      <c r="G110" s="3" t="s">
        <v>65</v>
      </c>
      <c r="H110" s="4" t="s">
        <v>404</v>
      </c>
      <c r="I110" s="7">
        <v>46041</v>
      </c>
    </row>
    <row r="111" spans="1:9" ht="36" customHeight="1" x14ac:dyDescent="0.2">
      <c r="A111" s="34">
        <v>109</v>
      </c>
      <c r="B111" s="34" t="s">
        <v>416</v>
      </c>
      <c r="C111" s="34" t="s">
        <v>423</v>
      </c>
      <c r="D111" s="34" t="s">
        <v>13</v>
      </c>
      <c r="E111" s="3">
        <v>50000</v>
      </c>
      <c r="F111" s="3">
        <v>50000</v>
      </c>
      <c r="G111" s="3" t="s">
        <v>65</v>
      </c>
      <c r="H111" s="4" t="s">
        <v>417</v>
      </c>
      <c r="I111" s="7">
        <v>46041</v>
      </c>
    </row>
    <row r="112" spans="1:9" ht="36" customHeight="1" x14ac:dyDescent="0.2">
      <c r="A112" s="34">
        <v>110</v>
      </c>
      <c r="B112" s="34" t="s">
        <v>418</v>
      </c>
      <c r="C112" s="34" t="s">
        <v>424</v>
      </c>
      <c r="D112" s="34" t="s">
        <v>14</v>
      </c>
      <c r="E112" s="3">
        <v>20000</v>
      </c>
      <c r="F112" s="3">
        <v>20000</v>
      </c>
      <c r="G112" s="3" t="s">
        <v>421</v>
      </c>
      <c r="H112" s="4" t="s">
        <v>419</v>
      </c>
      <c r="I112" s="7">
        <v>46041</v>
      </c>
    </row>
    <row r="113" spans="1:10" ht="36" customHeight="1" x14ac:dyDescent="0.2">
      <c r="A113" s="34">
        <v>111</v>
      </c>
      <c r="B113" s="34" t="s">
        <v>420</v>
      </c>
      <c r="C113" s="34" t="s">
        <v>425</v>
      </c>
      <c r="D113" s="34" t="s">
        <v>14</v>
      </c>
      <c r="E113" s="3">
        <v>20000</v>
      </c>
      <c r="F113" s="3">
        <v>20000</v>
      </c>
      <c r="G113" s="3" t="s">
        <v>421</v>
      </c>
      <c r="H113" s="4" t="s">
        <v>422</v>
      </c>
      <c r="I113" s="7">
        <v>46041</v>
      </c>
    </row>
    <row r="114" spans="1:10" ht="36" customHeight="1" x14ac:dyDescent="0.2">
      <c r="A114" s="34">
        <v>112</v>
      </c>
      <c r="B114" s="34" t="s">
        <v>427</v>
      </c>
      <c r="C114" s="34" t="s">
        <v>430</v>
      </c>
      <c r="D114" s="34" t="s">
        <v>13</v>
      </c>
      <c r="E114" s="3">
        <v>70000</v>
      </c>
      <c r="F114" s="3">
        <v>70000</v>
      </c>
      <c r="G114" s="3" t="s">
        <v>65</v>
      </c>
      <c r="H114" s="4" t="s">
        <v>426</v>
      </c>
      <c r="I114" s="7">
        <v>46042</v>
      </c>
    </row>
    <row r="115" spans="1:10" ht="36" customHeight="1" x14ac:dyDescent="0.2">
      <c r="A115" s="34">
        <v>113</v>
      </c>
      <c r="B115" s="34" t="s">
        <v>428</v>
      </c>
      <c r="C115" s="34" t="s">
        <v>431</v>
      </c>
      <c r="D115" s="34" t="s">
        <v>13</v>
      </c>
      <c r="E115" s="3">
        <v>25042</v>
      </c>
      <c r="F115" s="3">
        <v>25042</v>
      </c>
      <c r="G115" s="3" t="s">
        <v>65</v>
      </c>
      <c r="H115" s="4" t="s">
        <v>429</v>
      </c>
      <c r="I115" s="7">
        <v>46042</v>
      </c>
    </row>
    <row r="116" spans="1:10" ht="36" customHeight="1" x14ac:dyDescent="0.2">
      <c r="A116" s="34">
        <v>114</v>
      </c>
      <c r="B116" s="34" t="s">
        <v>432</v>
      </c>
      <c r="C116" s="34" t="s">
        <v>515</v>
      </c>
      <c r="D116" s="34" t="s">
        <v>13</v>
      </c>
      <c r="E116" s="3">
        <v>40000</v>
      </c>
      <c r="F116" s="3">
        <v>40000</v>
      </c>
      <c r="G116" s="3" t="s">
        <v>65</v>
      </c>
      <c r="H116" s="4" t="s">
        <v>433</v>
      </c>
      <c r="I116" s="7">
        <v>46042</v>
      </c>
    </row>
    <row r="117" spans="1:10" ht="36" customHeight="1" x14ac:dyDescent="0.2">
      <c r="A117" s="34">
        <v>115</v>
      </c>
      <c r="B117" s="34" t="s">
        <v>434</v>
      </c>
      <c r="C117" s="34" t="s">
        <v>643</v>
      </c>
      <c r="D117" s="34" t="s">
        <v>13</v>
      </c>
      <c r="E117" s="3">
        <v>48000</v>
      </c>
      <c r="F117" s="3">
        <v>48000</v>
      </c>
      <c r="G117" s="3" t="s">
        <v>65</v>
      </c>
      <c r="H117" s="4" t="s">
        <v>435</v>
      </c>
      <c r="I117" s="7">
        <v>46042</v>
      </c>
    </row>
    <row r="118" spans="1:10" ht="36" customHeight="1" x14ac:dyDescent="0.2">
      <c r="A118" s="34">
        <v>116</v>
      </c>
      <c r="B118" s="34" t="s">
        <v>436</v>
      </c>
      <c r="C118" s="34" t="s">
        <v>644</v>
      </c>
      <c r="D118" s="34" t="s">
        <v>13</v>
      </c>
      <c r="E118" s="3">
        <v>30000</v>
      </c>
      <c r="F118" s="3">
        <v>30000</v>
      </c>
      <c r="G118" s="3" t="s">
        <v>65</v>
      </c>
      <c r="H118" s="4" t="s">
        <v>437</v>
      </c>
      <c r="I118" s="7">
        <v>46042</v>
      </c>
    </row>
    <row r="119" spans="1:10" ht="36" customHeight="1" x14ac:dyDescent="0.2">
      <c r="A119" s="34">
        <v>117</v>
      </c>
      <c r="B119" s="34" t="s">
        <v>438</v>
      </c>
      <c r="C119" s="57" t="s">
        <v>645</v>
      </c>
      <c r="D119" s="34" t="s">
        <v>13</v>
      </c>
      <c r="E119" s="3">
        <v>239240</v>
      </c>
      <c r="F119" s="3">
        <v>239240</v>
      </c>
      <c r="G119" s="3" t="s">
        <v>65</v>
      </c>
      <c r="H119" s="4" t="s">
        <v>439</v>
      </c>
      <c r="I119" s="7">
        <v>46042</v>
      </c>
    </row>
    <row r="120" spans="1:10" ht="36" customHeight="1" x14ac:dyDescent="0.2">
      <c r="A120" s="34">
        <v>118</v>
      </c>
      <c r="B120" s="34" t="s">
        <v>440</v>
      </c>
      <c r="C120" s="34" t="s">
        <v>647</v>
      </c>
      <c r="D120" s="34" t="s">
        <v>13</v>
      </c>
      <c r="E120" s="3">
        <v>5400</v>
      </c>
      <c r="F120" s="3">
        <v>5400</v>
      </c>
      <c r="G120" s="3" t="s">
        <v>65</v>
      </c>
      <c r="H120" s="4" t="s">
        <v>441</v>
      </c>
      <c r="I120" s="7">
        <v>46042</v>
      </c>
    </row>
    <row r="121" spans="1:10" ht="36" customHeight="1" x14ac:dyDescent="0.2">
      <c r="A121" s="34">
        <v>119</v>
      </c>
      <c r="B121" s="34" t="s">
        <v>373</v>
      </c>
      <c r="C121" s="34" t="s">
        <v>646</v>
      </c>
      <c r="D121" s="34" t="s">
        <v>79</v>
      </c>
      <c r="E121" s="3">
        <v>30000</v>
      </c>
      <c r="F121" s="3">
        <v>30000</v>
      </c>
      <c r="G121" s="3" t="s">
        <v>65</v>
      </c>
      <c r="H121" s="4" t="s">
        <v>442</v>
      </c>
      <c r="I121" s="7">
        <v>46042</v>
      </c>
    </row>
    <row r="122" spans="1:10" ht="36" customHeight="1" x14ac:dyDescent="0.2">
      <c r="A122" s="34">
        <v>120</v>
      </c>
      <c r="B122" s="34" t="s">
        <v>443</v>
      </c>
      <c r="C122" s="34" t="s">
        <v>648</v>
      </c>
      <c r="D122" s="34" t="s">
        <v>13</v>
      </c>
      <c r="E122" s="3">
        <v>3000</v>
      </c>
      <c r="F122" s="3">
        <v>3000</v>
      </c>
      <c r="G122" s="3" t="s">
        <v>65</v>
      </c>
      <c r="H122" s="4" t="s">
        <v>444</v>
      </c>
      <c r="I122" s="7">
        <v>46042</v>
      </c>
    </row>
    <row r="123" spans="1:10" ht="36" customHeight="1" x14ac:dyDescent="0.2">
      <c r="A123" s="34">
        <v>121</v>
      </c>
      <c r="B123" s="34" t="s">
        <v>445</v>
      </c>
      <c r="C123" s="34" t="s">
        <v>649</v>
      </c>
      <c r="D123" s="34" t="s">
        <v>13</v>
      </c>
      <c r="E123" s="3">
        <v>50000</v>
      </c>
      <c r="F123" s="3">
        <v>50000</v>
      </c>
      <c r="G123" s="3" t="s">
        <v>65</v>
      </c>
      <c r="H123" s="4" t="s">
        <v>446</v>
      </c>
      <c r="I123" s="7">
        <v>46042</v>
      </c>
    </row>
    <row r="124" spans="1:10" ht="36" customHeight="1" x14ac:dyDescent="0.2">
      <c r="A124" s="34">
        <v>122</v>
      </c>
      <c r="B124" s="34" t="s">
        <v>447</v>
      </c>
      <c r="C124" s="34" t="s">
        <v>650</v>
      </c>
      <c r="D124" s="34" t="s">
        <v>13</v>
      </c>
      <c r="E124" s="3">
        <v>100539</v>
      </c>
      <c r="F124" s="3">
        <v>100539</v>
      </c>
      <c r="G124" s="3" t="s">
        <v>65</v>
      </c>
      <c r="H124" s="4" t="s">
        <v>448</v>
      </c>
      <c r="I124" s="7">
        <v>46042</v>
      </c>
    </row>
    <row r="125" spans="1:10" ht="36" customHeight="1" x14ac:dyDescent="0.2">
      <c r="A125" s="34">
        <v>123</v>
      </c>
      <c r="B125" s="34" t="s">
        <v>449</v>
      </c>
      <c r="C125" s="34" t="s">
        <v>651</v>
      </c>
      <c r="D125" s="34" t="s">
        <v>13</v>
      </c>
      <c r="E125" s="3">
        <v>2000</v>
      </c>
      <c r="F125" s="3">
        <v>2000</v>
      </c>
      <c r="G125" s="3" t="s">
        <v>65</v>
      </c>
      <c r="H125" s="4" t="s">
        <v>450</v>
      </c>
      <c r="I125" s="7">
        <v>46042</v>
      </c>
    </row>
    <row r="126" spans="1:10" ht="36" customHeight="1" x14ac:dyDescent="0.2">
      <c r="A126" s="34">
        <v>124</v>
      </c>
      <c r="B126" s="34" t="s">
        <v>451</v>
      </c>
      <c r="C126" s="34" t="s">
        <v>652</v>
      </c>
      <c r="D126" s="34" t="s">
        <v>13</v>
      </c>
      <c r="E126" s="3">
        <v>3300</v>
      </c>
      <c r="F126" s="3">
        <v>3300</v>
      </c>
      <c r="G126" s="3" t="s">
        <v>65</v>
      </c>
      <c r="H126" s="4" t="s">
        <v>452</v>
      </c>
      <c r="I126" s="7">
        <v>46042</v>
      </c>
      <c r="J126" s="53" t="s">
        <v>205</v>
      </c>
    </row>
    <row r="127" spans="1:10" ht="36" customHeight="1" x14ac:dyDescent="0.2">
      <c r="A127" s="34">
        <v>125</v>
      </c>
      <c r="B127" s="34" t="s">
        <v>453</v>
      </c>
      <c r="C127" s="34" t="s">
        <v>653</v>
      </c>
      <c r="D127" s="34" t="s">
        <v>13</v>
      </c>
      <c r="E127" s="3">
        <v>25000</v>
      </c>
      <c r="F127" s="3">
        <v>25000</v>
      </c>
      <c r="G127" s="3" t="s">
        <v>65</v>
      </c>
      <c r="H127" s="4" t="s">
        <v>454</v>
      </c>
      <c r="I127" s="7">
        <v>46042</v>
      </c>
    </row>
    <row r="128" spans="1:10" ht="36" customHeight="1" x14ac:dyDescent="0.2">
      <c r="A128" s="34">
        <v>126</v>
      </c>
      <c r="B128" s="34" t="s">
        <v>455</v>
      </c>
      <c r="C128" s="34" t="s">
        <v>654</v>
      </c>
      <c r="D128" s="34" t="s">
        <v>13</v>
      </c>
      <c r="E128" s="3">
        <v>10000</v>
      </c>
      <c r="F128" s="3">
        <v>10000</v>
      </c>
      <c r="G128" s="3" t="s">
        <v>65</v>
      </c>
      <c r="H128" s="4" t="s">
        <v>456</v>
      </c>
      <c r="I128" s="7">
        <v>46042</v>
      </c>
    </row>
    <row r="129" spans="1:10" ht="36" customHeight="1" x14ac:dyDescent="0.2">
      <c r="A129" s="34">
        <v>127</v>
      </c>
      <c r="B129" s="34" t="s">
        <v>459</v>
      </c>
      <c r="C129" s="34" t="s">
        <v>655</v>
      </c>
      <c r="D129" s="34" t="s">
        <v>13</v>
      </c>
      <c r="E129" s="3">
        <v>100000</v>
      </c>
      <c r="F129" s="3">
        <v>100000</v>
      </c>
      <c r="G129" s="3" t="s">
        <v>65</v>
      </c>
      <c r="H129" s="4" t="s">
        <v>460</v>
      </c>
      <c r="I129" s="7">
        <v>46042</v>
      </c>
    </row>
    <row r="130" spans="1:10" ht="36" customHeight="1" x14ac:dyDescent="0.2">
      <c r="A130" s="34">
        <v>128</v>
      </c>
      <c r="B130" s="34" t="s">
        <v>449</v>
      </c>
      <c r="C130" s="34" t="s">
        <v>650</v>
      </c>
      <c r="D130" s="34" t="s">
        <v>13</v>
      </c>
      <c r="E130" s="3">
        <v>2000</v>
      </c>
      <c r="F130" s="3">
        <v>2000</v>
      </c>
      <c r="G130" s="3" t="s">
        <v>65</v>
      </c>
      <c r="H130" s="4" t="s">
        <v>461</v>
      </c>
      <c r="I130" s="7">
        <v>46042</v>
      </c>
    </row>
    <row r="131" spans="1:10" ht="36" customHeight="1" x14ac:dyDescent="0.2">
      <c r="A131" s="34">
        <v>129</v>
      </c>
      <c r="B131" s="34" t="s">
        <v>462</v>
      </c>
      <c r="C131" s="34" t="s">
        <v>656</v>
      </c>
      <c r="D131" s="34" t="s">
        <v>13</v>
      </c>
      <c r="E131" s="3">
        <v>10000</v>
      </c>
      <c r="F131" s="3">
        <v>10000</v>
      </c>
      <c r="G131" s="3" t="s">
        <v>65</v>
      </c>
      <c r="H131" s="4" t="s">
        <v>463</v>
      </c>
      <c r="I131" s="7">
        <v>46042</v>
      </c>
    </row>
    <row r="132" spans="1:10" ht="36" customHeight="1" x14ac:dyDescent="0.2">
      <c r="A132" s="34">
        <v>130</v>
      </c>
      <c r="B132" s="34" t="s">
        <v>464</v>
      </c>
      <c r="C132" s="34" t="s">
        <v>657</v>
      </c>
      <c r="D132" s="34" t="s">
        <v>13</v>
      </c>
      <c r="E132" s="3">
        <v>35000</v>
      </c>
      <c r="F132" s="3">
        <v>35000</v>
      </c>
      <c r="G132" s="3" t="s">
        <v>65</v>
      </c>
      <c r="H132" s="4" t="s">
        <v>465</v>
      </c>
      <c r="I132" s="7">
        <v>46043</v>
      </c>
    </row>
    <row r="133" spans="1:10" ht="36" customHeight="1" x14ac:dyDescent="0.2">
      <c r="A133" s="34">
        <v>131</v>
      </c>
      <c r="B133" s="34" t="s">
        <v>467</v>
      </c>
      <c r="C133" s="34" t="s">
        <v>372</v>
      </c>
      <c r="D133" s="34" t="s">
        <v>13</v>
      </c>
      <c r="E133" s="3">
        <v>40000</v>
      </c>
      <c r="F133" s="3">
        <v>40000</v>
      </c>
      <c r="G133" s="3" t="s">
        <v>65</v>
      </c>
      <c r="H133" s="4" t="s">
        <v>466</v>
      </c>
      <c r="I133" s="7">
        <v>46043</v>
      </c>
    </row>
    <row r="134" spans="1:10" ht="36" customHeight="1" x14ac:dyDescent="0.2">
      <c r="A134" s="34">
        <v>132</v>
      </c>
      <c r="B134" s="34" t="s">
        <v>468</v>
      </c>
      <c r="C134" s="34" t="s">
        <v>658</v>
      </c>
      <c r="D134" s="34" t="s">
        <v>13</v>
      </c>
      <c r="E134" s="3">
        <v>70000</v>
      </c>
      <c r="F134" s="3">
        <v>70000</v>
      </c>
      <c r="G134" s="3" t="s">
        <v>65</v>
      </c>
      <c r="H134" s="4" t="s">
        <v>469</v>
      </c>
      <c r="I134" s="7">
        <v>46043</v>
      </c>
    </row>
    <row r="135" spans="1:10" ht="36" customHeight="1" x14ac:dyDescent="0.2">
      <c r="A135" s="34">
        <v>133</v>
      </c>
      <c r="B135" s="34" t="s">
        <v>470</v>
      </c>
      <c r="C135" s="34" t="s">
        <v>659</v>
      </c>
      <c r="D135" s="34" t="s">
        <v>13</v>
      </c>
      <c r="E135" s="3">
        <v>42450</v>
      </c>
      <c r="F135" s="3">
        <v>42450</v>
      </c>
      <c r="G135" s="3" t="s">
        <v>65</v>
      </c>
      <c r="H135" s="4" t="s">
        <v>471</v>
      </c>
      <c r="I135" s="7">
        <v>46043</v>
      </c>
      <c r="J135" s="53" t="s">
        <v>205</v>
      </c>
    </row>
    <row r="136" spans="1:10" ht="36" customHeight="1" x14ac:dyDescent="0.2">
      <c r="A136" s="34">
        <v>134</v>
      </c>
      <c r="B136" s="34" t="s">
        <v>472</v>
      </c>
      <c r="C136" s="34" t="s">
        <v>660</v>
      </c>
      <c r="D136" s="34" t="s">
        <v>13</v>
      </c>
      <c r="E136" s="3">
        <v>150000</v>
      </c>
      <c r="F136" s="3">
        <v>150000</v>
      </c>
      <c r="G136" s="3" t="s">
        <v>65</v>
      </c>
      <c r="H136" s="4" t="s">
        <v>473</v>
      </c>
      <c r="I136" s="7">
        <v>46043</v>
      </c>
    </row>
    <row r="137" spans="1:10" ht="36" customHeight="1" x14ac:dyDescent="0.2">
      <c r="A137" s="34">
        <v>135</v>
      </c>
      <c r="B137" s="34" t="s">
        <v>474</v>
      </c>
      <c r="C137" s="34" t="s">
        <v>661</v>
      </c>
      <c r="D137" s="34" t="s">
        <v>13</v>
      </c>
      <c r="E137" s="3">
        <v>90000</v>
      </c>
      <c r="F137" s="3">
        <v>90000</v>
      </c>
      <c r="G137" s="3" t="s">
        <v>65</v>
      </c>
      <c r="H137" s="4" t="s">
        <v>475</v>
      </c>
      <c r="I137" s="7">
        <v>46043</v>
      </c>
    </row>
    <row r="138" spans="1:10" ht="36" customHeight="1" x14ac:dyDescent="0.2">
      <c r="A138" s="34">
        <v>136</v>
      </c>
      <c r="B138" s="34" t="s">
        <v>476</v>
      </c>
      <c r="C138" s="34" t="s">
        <v>662</v>
      </c>
      <c r="D138" s="34" t="s">
        <v>13</v>
      </c>
      <c r="E138" s="3">
        <v>61000</v>
      </c>
      <c r="F138" s="3">
        <v>61000</v>
      </c>
      <c r="G138" s="3" t="s">
        <v>65</v>
      </c>
      <c r="H138" s="4" t="s">
        <v>477</v>
      </c>
      <c r="I138" s="7">
        <v>46043</v>
      </c>
    </row>
    <row r="139" spans="1:10" ht="36" customHeight="1" x14ac:dyDescent="0.2">
      <c r="A139" s="34">
        <v>137</v>
      </c>
      <c r="B139" s="34" t="s">
        <v>478</v>
      </c>
      <c r="C139" s="34" t="s">
        <v>649</v>
      </c>
      <c r="D139" s="34" t="s">
        <v>13</v>
      </c>
      <c r="E139" s="3">
        <v>15000</v>
      </c>
      <c r="F139" s="3">
        <v>15000</v>
      </c>
      <c r="G139" s="3" t="s">
        <v>65</v>
      </c>
      <c r="H139" s="4" t="s">
        <v>479</v>
      </c>
      <c r="I139" s="7">
        <v>46043</v>
      </c>
    </row>
    <row r="140" spans="1:10" ht="36" customHeight="1" x14ac:dyDescent="0.2">
      <c r="A140" s="34">
        <v>138</v>
      </c>
      <c r="B140" s="34" t="s">
        <v>480</v>
      </c>
      <c r="C140" s="34" t="s">
        <v>664</v>
      </c>
      <c r="D140" s="34" t="s">
        <v>13</v>
      </c>
      <c r="E140" s="3">
        <v>100000</v>
      </c>
      <c r="F140" s="3">
        <v>100000</v>
      </c>
      <c r="G140" s="3" t="s">
        <v>65</v>
      </c>
      <c r="H140" s="4" t="s">
        <v>481</v>
      </c>
      <c r="I140" s="7">
        <v>46043</v>
      </c>
    </row>
    <row r="141" spans="1:10" ht="36" customHeight="1" x14ac:dyDescent="0.2">
      <c r="A141" s="34">
        <v>139</v>
      </c>
      <c r="B141" s="34" t="s">
        <v>482</v>
      </c>
      <c r="C141" s="34" t="s">
        <v>663</v>
      </c>
      <c r="D141" s="34" t="s">
        <v>13</v>
      </c>
      <c r="E141" s="3">
        <v>50000</v>
      </c>
      <c r="F141" s="3">
        <v>50000</v>
      </c>
      <c r="G141" s="3" t="s">
        <v>65</v>
      </c>
      <c r="H141" s="4" t="s">
        <v>483</v>
      </c>
      <c r="I141" s="7">
        <v>46043</v>
      </c>
    </row>
    <row r="142" spans="1:10" ht="36" customHeight="1" x14ac:dyDescent="0.2">
      <c r="A142" s="34">
        <v>140</v>
      </c>
      <c r="B142" s="34" t="s">
        <v>432</v>
      </c>
      <c r="C142" s="34" t="s">
        <v>665</v>
      </c>
      <c r="D142" s="34" t="s">
        <v>13</v>
      </c>
      <c r="E142" s="3">
        <v>40000</v>
      </c>
      <c r="F142" s="3">
        <v>40000</v>
      </c>
      <c r="G142" s="3" t="s">
        <v>65</v>
      </c>
      <c r="H142" s="4" t="s">
        <v>433</v>
      </c>
      <c r="I142" s="7">
        <v>46043</v>
      </c>
    </row>
    <row r="143" spans="1:10" ht="36" customHeight="1" x14ac:dyDescent="0.2">
      <c r="A143" s="34">
        <v>141</v>
      </c>
      <c r="B143" s="34" t="s">
        <v>484</v>
      </c>
      <c r="C143" s="34" t="s">
        <v>666</v>
      </c>
      <c r="D143" s="34" t="s">
        <v>14</v>
      </c>
      <c r="E143" s="3">
        <v>100000</v>
      </c>
      <c r="F143" s="3">
        <v>50000</v>
      </c>
      <c r="G143" s="3">
        <v>50000</v>
      </c>
      <c r="H143" s="4" t="s">
        <v>485</v>
      </c>
      <c r="I143" s="7">
        <v>46043</v>
      </c>
    </row>
    <row r="144" spans="1:10" ht="36" customHeight="1" x14ac:dyDescent="0.2">
      <c r="A144" s="34">
        <v>142</v>
      </c>
      <c r="B144" s="34" t="s">
        <v>486</v>
      </c>
      <c r="C144" s="34" t="s">
        <v>667</v>
      </c>
      <c r="D144" s="34" t="s">
        <v>13</v>
      </c>
      <c r="E144" s="3">
        <v>80000</v>
      </c>
      <c r="F144" s="3">
        <v>80000</v>
      </c>
      <c r="G144" s="3" t="s">
        <v>65</v>
      </c>
      <c r="H144" s="4" t="s">
        <v>487</v>
      </c>
      <c r="I144" s="7">
        <v>46043</v>
      </c>
    </row>
    <row r="145" spans="1:10" ht="36" customHeight="1" x14ac:dyDescent="0.2">
      <c r="A145" s="34">
        <v>143</v>
      </c>
      <c r="B145" s="34" t="s">
        <v>488</v>
      </c>
      <c r="C145" s="34" t="s">
        <v>668</v>
      </c>
      <c r="D145" s="34" t="s">
        <v>13</v>
      </c>
      <c r="E145" s="3">
        <v>25000</v>
      </c>
      <c r="F145" s="3">
        <v>25000</v>
      </c>
      <c r="G145" s="3" t="s">
        <v>65</v>
      </c>
      <c r="H145" s="4" t="s">
        <v>489</v>
      </c>
      <c r="I145" s="7">
        <v>46043</v>
      </c>
    </row>
    <row r="146" spans="1:10" ht="36" customHeight="1" x14ac:dyDescent="0.2">
      <c r="A146" s="34">
        <v>144</v>
      </c>
      <c r="B146" s="34" t="s">
        <v>490</v>
      </c>
      <c r="C146" s="34" t="s">
        <v>669</v>
      </c>
      <c r="D146" s="34" t="s">
        <v>13</v>
      </c>
      <c r="E146" s="3">
        <v>100000</v>
      </c>
      <c r="F146" s="3">
        <v>100000</v>
      </c>
      <c r="G146" s="3" t="s">
        <v>65</v>
      </c>
      <c r="H146" s="4" t="s">
        <v>491</v>
      </c>
      <c r="I146" s="7">
        <v>46043</v>
      </c>
    </row>
    <row r="147" spans="1:10" ht="36" customHeight="1" x14ac:dyDescent="0.2">
      <c r="A147" s="34">
        <v>145</v>
      </c>
      <c r="B147" s="34" t="s">
        <v>492</v>
      </c>
      <c r="C147" s="34" t="s">
        <v>669</v>
      </c>
      <c r="D147" s="34" t="s">
        <v>13</v>
      </c>
      <c r="E147" s="3">
        <v>64400</v>
      </c>
      <c r="F147" s="3">
        <v>64400</v>
      </c>
      <c r="G147" s="3" t="s">
        <v>65</v>
      </c>
      <c r="H147" s="4" t="s">
        <v>493</v>
      </c>
      <c r="I147" s="7">
        <v>46043</v>
      </c>
    </row>
    <row r="148" spans="1:10" ht="36" customHeight="1" x14ac:dyDescent="0.2">
      <c r="A148" s="34">
        <v>146</v>
      </c>
      <c r="B148" s="34" t="s">
        <v>494</v>
      </c>
      <c r="C148" s="34" t="s">
        <v>670</v>
      </c>
      <c r="D148" s="34" t="s">
        <v>13</v>
      </c>
      <c r="E148" s="3">
        <v>50000</v>
      </c>
      <c r="F148" s="3">
        <v>50000</v>
      </c>
      <c r="G148" s="3" t="s">
        <v>65</v>
      </c>
      <c r="H148" s="4" t="s">
        <v>495</v>
      </c>
      <c r="I148" s="7">
        <v>46043</v>
      </c>
    </row>
    <row r="149" spans="1:10" ht="36" customHeight="1" x14ac:dyDescent="0.2">
      <c r="A149" s="34">
        <v>147</v>
      </c>
      <c r="B149" s="34" t="s">
        <v>496</v>
      </c>
      <c r="C149" s="34" t="s">
        <v>671</v>
      </c>
      <c r="D149" s="34" t="s">
        <v>13</v>
      </c>
      <c r="E149" s="3">
        <v>150000</v>
      </c>
      <c r="F149" s="3">
        <v>150000</v>
      </c>
      <c r="G149" s="3" t="s">
        <v>65</v>
      </c>
      <c r="H149" s="4" t="s">
        <v>450</v>
      </c>
      <c r="I149" s="7">
        <v>46043</v>
      </c>
    </row>
    <row r="150" spans="1:10" ht="36" customHeight="1" x14ac:dyDescent="0.2">
      <c r="A150" s="34">
        <v>148</v>
      </c>
      <c r="B150" s="34" t="s">
        <v>497</v>
      </c>
      <c r="C150" s="34" t="s">
        <v>672</v>
      </c>
      <c r="D150" s="34" t="s">
        <v>13</v>
      </c>
      <c r="E150" s="3">
        <v>65900</v>
      </c>
      <c r="F150" s="3">
        <v>65900</v>
      </c>
      <c r="G150" s="3" t="s">
        <v>65</v>
      </c>
      <c r="H150" s="4" t="s">
        <v>498</v>
      </c>
      <c r="I150" s="7">
        <v>46043</v>
      </c>
    </row>
    <row r="151" spans="1:10" ht="36" customHeight="1" x14ac:dyDescent="0.2">
      <c r="A151" s="34">
        <v>149</v>
      </c>
      <c r="B151" s="34" t="s">
        <v>499</v>
      </c>
      <c r="C151" s="34" t="s">
        <v>673</v>
      </c>
      <c r="D151" s="34" t="s">
        <v>13</v>
      </c>
      <c r="E151" s="3">
        <v>44720</v>
      </c>
      <c r="F151" s="3">
        <v>44720</v>
      </c>
      <c r="G151" s="3" t="s">
        <v>65</v>
      </c>
      <c r="H151" s="4" t="s">
        <v>500</v>
      </c>
      <c r="I151" s="7">
        <v>46043</v>
      </c>
    </row>
    <row r="152" spans="1:10" ht="36" customHeight="1" x14ac:dyDescent="0.2">
      <c r="A152" s="34">
        <v>150</v>
      </c>
      <c r="B152" s="34" t="s">
        <v>502</v>
      </c>
      <c r="C152" s="34" t="s">
        <v>674</v>
      </c>
      <c r="D152" s="34" t="s">
        <v>13</v>
      </c>
      <c r="E152" s="3">
        <v>156842</v>
      </c>
      <c r="F152" s="3">
        <v>156842</v>
      </c>
      <c r="G152" s="3" t="s">
        <v>65</v>
      </c>
      <c r="H152" s="4" t="s">
        <v>501</v>
      </c>
      <c r="I152" s="7">
        <v>46043</v>
      </c>
    </row>
    <row r="153" spans="1:10" ht="36" customHeight="1" x14ac:dyDescent="0.2">
      <c r="A153" s="34">
        <v>151</v>
      </c>
      <c r="B153" s="34" t="s">
        <v>503</v>
      </c>
      <c r="C153" s="34" t="s">
        <v>675</v>
      </c>
      <c r="D153" s="34" t="s">
        <v>13</v>
      </c>
      <c r="E153" s="3">
        <v>50000</v>
      </c>
      <c r="F153" s="3">
        <v>50000</v>
      </c>
      <c r="G153" s="3" t="s">
        <v>65</v>
      </c>
      <c r="H153" s="4" t="s">
        <v>504</v>
      </c>
      <c r="I153" s="7">
        <v>46043</v>
      </c>
    </row>
    <row r="154" spans="1:10" ht="36" customHeight="1" x14ac:dyDescent="0.2">
      <c r="A154" s="34">
        <v>152</v>
      </c>
      <c r="B154" s="34" t="s">
        <v>507</v>
      </c>
      <c r="C154" s="34" t="s">
        <v>676</v>
      </c>
      <c r="D154" s="34" t="s">
        <v>79</v>
      </c>
      <c r="E154" s="3">
        <v>20000</v>
      </c>
      <c r="F154" s="3">
        <v>20000</v>
      </c>
      <c r="G154" s="3" t="s">
        <v>65</v>
      </c>
      <c r="H154" s="4" t="s">
        <v>508</v>
      </c>
      <c r="I154" s="7">
        <v>46043</v>
      </c>
      <c r="J154" s="53" t="s">
        <v>205</v>
      </c>
    </row>
    <row r="155" spans="1:10" ht="36" customHeight="1" x14ac:dyDescent="0.2">
      <c r="A155" s="34">
        <v>153</v>
      </c>
      <c r="B155" s="34" t="s">
        <v>509</v>
      </c>
      <c r="C155" s="34" t="s">
        <v>677</v>
      </c>
      <c r="D155" s="34" t="s">
        <v>13</v>
      </c>
      <c r="E155" s="3">
        <v>50000</v>
      </c>
      <c r="F155" s="3">
        <v>50000</v>
      </c>
      <c r="G155" s="3" t="s">
        <v>65</v>
      </c>
      <c r="H155" s="4" t="s">
        <v>510</v>
      </c>
      <c r="I155" s="7">
        <v>46043</v>
      </c>
    </row>
    <row r="156" spans="1:10" ht="36" customHeight="1" x14ac:dyDescent="0.2">
      <c r="A156" s="34">
        <v>154</v>
      </c>
      <c r="B156" s="34" t="s">
        <v>511</v>
      </c>
      <c r="C156" s="34" t="s">
        <v>678</v>
      </c>
      <c r="D156" s="34" t="s">
        <v>79</v>
      </c>
      <c r="E156" s="3">
        <v>90000</v>
      </c>
      <c r="F156" s="3">
        <v>90000</v>
      </c>
      <c r="G156" s="3" t="s">
        <v>65</v>
      </c>
      <c r="H156" s="4" t="s">
        <v>512</v>
      </c>
      <c r="I156" s="7">
        <v>46043</v>
      </c>
    </row>
    <row r="157" spans="1:10" ht="36" customHeight="1" x14ac:dyDescent="0.2">
      <c r="A157" s="34">
        <v>155</v>
      </c>
      <c r="B157" s="34" t="s">
        <v>513</v>
      </c>
      <c r="C157" s="34" t="s">
        <v>679</v>
      </c>
      <c r="D157" s="34" t="s">
        <v>79</v>
      </c>
      <c r="E157" s="3">
        <v>20000</v>
      </c>
      <c r="F157" s="3">
        <v>20000</v>
      </c>
      <c r="G157" s="3" t="s">
        <v>65</v>
      </c>
      <c r="H157" s="4" t="s">
        <v>514</v>
      </c>
      <c r="I157" s="7">
        <v>46043</v>
      </c>
    </row>
    <row r="158" spans="1:10" ht="36" customHeight="1" x14ac:dyDescent="0.2">
      <c r="A158" s="34">
        <v>156</v>
      </c>
      <c r="B158" s="34" t="s">
        <v>516</v>
      </c>
      <c r="C158" s="34" t="s">
        <v>680</v>
      </c>
      <c r="D158" s="34" t="s">
        <v>13</v>
      </c>
      <c r="E158" s="3">
        <v>95000</v>
      </c>
      <c r="F158" s="3">
        <v>95000</v>
      </c>
      <c r="G158" s="3" t="s">
        <v>65</v>
      </c>
      <c r="H158" s="4" t="s">
        <v>517</v>
      </c>
      <c r="I158" s="7">
        <v>46044</v>
      </c>
      <c r="J158" s="53" t="s">
        <v>205</v>
      </c>
    </row>
    <row r="159" spans="1:10" ht="36" customHeight="1" x14ac:dyDescent="0.2">
      <c r="A159" s="34">
        <v>157</v>
      </c>
      <c r="B159" s="34" t="s">
        <v>518</v>
      </c>
      <c r="C159" s="34" t="s">
        <v>681</v>
      </c>
      <c r="D159" s="34" t="s">
        <v>13</v>
      </c>
      <c r="E159" s="3">
        <v>100000</v>
      </c>
      <c r="F159" s="3">
        <v>100000</v>
      </c>
      <c r="G159" s="3" t="s">
        <v>65</v>
      </c>
      <c r="H159" s="4" t="s">
        <v>519</v>
      </c>
      <c r="I159" s="7">
        <v>46044</v>
      </c>
    </row>
    <row r="160" spans="1:10" ht="36" customHeight="1" x14ac:dyDescent="0.2">
      <c r="A160" s="34">
        <v>158</v>
      </c>
      <c r="B160" s="34" t="s">
        <v>520</v>
      </c>
      <c r="C160" s="34" t="s">
        <v>409</v>
      </c>
      <c r="D160" s="34" t="s">
        <v>13</v>
      </c>
      <c r="E160" s="3">
        <v>85000</v>
      </c>
      <c r="F160" s="3">
        <v>85000</v>
      </c>
      <c r="G160" s="3" t="s">
        <v>65</v>
      </c>
      <c r="H160" s="4" t="s">
        <v>521</v>
      </c>
      <c r="I160" s="7">
        <v>46044</v>
      </c>
    </row>
    <row r="161" spans="1:10" ht="36" customHeight="1" x14ac:dyDescent="0.2">
      <c r="A161" s="34">
        <v>159</v>
      </c>
      <c r="B161" s="34" t="s">
        <v>522</v>
      </c>
      <c r="C161" s="57" t="s">
        <v>682</v>
      </c>
      <c r="D161" s="34" t="s">
        <v>13</v>
      </c>
      <c r="E161" s="3">
        <v>90000</v>
      </c>
      <c r="F161" s="3">
        <v>90000</v>
      </c>
      <c r="G161" s="3" t="s">
        <v>65</v>
      </c>
      <c r="H161" s="4" t="s">
        <v>523</v>
      </c>
      <c r="I161" s="7">
        <v>46044</v>
      </c>
    </row>
    <row r="162" spans="1:10" ht="36" customHeight="1" x14ac:dyDescent="0.2">
      <c r="A162" s="34">
        <v>160</v>
      </c>
      <c r="B162" s="34" t="s">
        <v>524</v>
      </c>
      <c r="C162" s="34" t="s">
        <v>683</v>
      </c>
      <c r="D162" s="34" t="s">
        <v>13</v>
      </c>
      <c r="E162" s="3">
        <v>84720</v>
      </c>
      <c r="F162" s="3">
        <v>84720</v>
      </c>
      <c r="G162" s="3" t="s">
        <v>65</v>
      </c>
      <c r="H162" s="4" t="s">
        <v>525</v>
      </c>
      <c r="I162" s="7">
        <v>46044</v>
      </c>
    </row>
    <row r="163" spans="1:10" ht="36" customHeight="1" x14ac:dyDescent="0.2">
      <c r="A163" s="34">
        <v>161</v>
      </c>
      <c r="B163" s="34" t="s">
        <v>526</v>
      </c>
      <c r="C163" s="34" t="s">
        <v>684</v>
      </c>
      <c r="D163" s="34" t="s">
        <v>13</v>
      </c>
      <c r="E163" s="3">
        <v>182000</v>
      </c>
      <c r="F163" s="3">
        <v>182000</v>
      </c>
      <c r="G163" s="3" t="s">
        <v>65</v>
      </c>
      <c r="H163" s="4" t="s">
        <v>527</v>
      </c>
      <c r="I163" s="7">
        <v>46044</v>
      </c>
    </row>
    <row r="164" spans="1:10" ht="36" customHeight="1" x14ac:dyDescent="0.2">
      <c r="A164" s="34">
        <v>162</v>
      </c>
      <c r="B164" s="34" t="s">
        <v>530</v>
      </c>
      <c r="C164" s="34" t="s">
        <v>685</v>
      </c>
      <c r="D164" s="34" t="s">
        <v>13</v>
      </c>
      <c r="E164" s="3">
        <v>50000</v>
      </c>
      <c r="F164" s="3">
        <v>50000</v>
      </c>
      <c r="G164" s="3" t="s">
        <v>65</v>
      </c>
      <c r="H164" s="4" t="s">
        <v>531</v>
      </c>
      <c r="I164" s="7">
        <v>46044</v>
      </c>
      <c r="J164" s="53" t="s">
        <v>205</v>
      </c>
    </row>
    <row r="165" spans="1:10" ht="36" customHeight="1" x14ac:dyDescent="0.2">
      <c r="A165" s="34">
        <v>163</v>
      </c>
      <c r="B165" s="34" t="s">
        <v>532</v>
      </c>
      <c r="C165" s="34" t="s">
        <v>686</v>
      </c>
      <c r="D165" s="34" t="s">
        <v>13</v>
      </c>
      <c r="E165" s="3">
        <v>91500</v>
      </c>
      <c r="F165" s="3">
        <v>91500</v>
      </c>
      <c r="G165" s="3" t="s">
        <v>65</v>
      </c>
      <c r="H165" s="4" t="s">
        <v>533</v>
      </c>
      <c r="I165" s="7">
        <v>46044</v>
      </c>
      <c r="J165" s="53" t="s">
        <v>205</v>
      </c>
    </row>
    <row r="166" spans="1:10" ht="36" customHeight="1" x14ac:dyDescent="0.2">
      <c r="A166" s="34">
        <v>164</v>
      </c>
      <c r="B166" s="34" t="s">
        <v>534</v>
      </c>
      <c r="C166" s="34" t="s">
        <v>687</v>
      </c>
      <c r="D166" s="34" t="s">
        <v>13</v>
      </c>
      <c r="E166" s="3">
        <v>11100</v>
      </c>
      <c r="F166" s="3">
        <v>11100</v>
      </c>
      <c r="G166" s="3" t="s">
        <v>65</v>
      </c>
      <c r="H166" s="4" t="s">
        <v>535</v>
      </c>
      <c r="I166" s="7">
        <v>46044</v>
      </c>
      <c r="J166" s="53" t="s">
        <v>205</v>
      </c>
    </row>
    <row r="167" spans="1:10" ht="36" customHeight="1" x14ac:dyDescent="0.2">
      <c r="A167" s="34">
        <v>165</v>
      </c>
      <c r="B167" s="34" t="s">
        <v>536</v>
      </c>
      <c r="C167" s="34" t="s">
        <v>688</v>
      </c>
      <c r="D167" s="34" t="s">
        <v>13</v>
      </c>
      <c r="E167" s="3">
        <v>24000</v>
      </c>
      <c r="F167" s="3">
        <v>24000</v>
      </c>
      <c r="G167" s="3" t="s">
        <v>65</v>
      </c>
      <c r="H167" s="4" t="s">
        <v>537</v>
      </c>
      <c r="I167" s="7">
        <v>46044</v>
      </c>
    </row>
    <row r="168" spans="1:10" ht="36" customHeight="1" x14ac:dyDescent="0.2">
      <c r="A168" s="34">
        <v>166</v>
      </c>
      <c r="B168" s="34" t="s">
        <v>538</v>
      </c>
      <c r="C168" s="34" t="s">
        <v>691</v>
      </c>
      <c r="D168" s="34" t="s">
        <v>13</v>
      </c>
      <c r="E168" s="3">
        <v>117800</v>
      </c>
      <c r="F168" s="3">
        <v>117800</v>
      </c>
      <c r="G168" s="3" t="s">
        <v>65</v>
      </c>
      <c r="H168" s="4" t="s">
        <v>539</v>
      </c>
      <c r="I168" s="7">
        <v>46044</v>
      </c>
    </row>
    <row r="169" spans="1:10" ht="36" customHeight="1" x14ac:dyDescent="0.2">
      <c r="A169" s="34">
        <v>167</v>
      </c>
      <c r="B169" s="34"/>
      <c r="C169" s="34"/>
      <c r="D169" s="34" t="s">
        <v>13</v>
      </c>
      <c r="E169" s="3">
        <v>100000</v>
      </c>
      <c r="F169" s="3">
        <v>100000</v>
      </c>
      <c r="G169" s="3" t="s">
        <v>65</v>
      </c>
      <c r="H169" s="4" t="s">
        <v>581</v>
      </c>
      <c r="I169" s="7">
        <v>46044</v>
      </c>
    </row>
    <row r="170" spans="1:10" ht="36" customHeight="1" x14ac:dyDescent="0.2">
      <c r="A170" s="34">
        <v>168</v>
      </c>
      <c r="B170" s="34" t="s">
        <v>544</v>
      </c>
      <c r="C170" s="34" t="s">
        <v>692</v>
      </c>
      <c r="D170" s="34" t="s">
        <v>13</v>
      </c>
      <c r="E170" s="3">
        <v>70000</v>
      </c>
      <c r="F170" s="3">
        <v>70000</v>
      </c>
      <c r="G170" s="3" t="s">
        <v>65</v>
      </c>
      <c r="H170" s="4" t="s">
        <v>540</v>
      </c>
      <c r="I170" s="7">
        <v>46044</v>
      </c>
    </row>
    <row r="171" spans="1:10" ht="36" customHeight="1" x14ac:dyDescent="0.2">
      <c r="A171" s="34">
        <v>169</v>
      </c>
      <c r="B171" s="34" t="s">
        <v>542</v>
      </c>
      <c r="C171" s="34" t="s">
        <v>693</v>
      </c>
      <c r="D171" s="34" t="s">
        <v>13</v>
      </c>
      <c r="E171" s="3">
        <v>6000</v>
      </c>
      <c r="F171" s="3">
        <v>6000</v>
      </c>
      <c r="G171" s="3" t="s">
        <v>65</v>
      </c>
      <c r="H171" s="4" t="s">
        <v>543</v>
      </c>
      <c r="I171" s="7">
        <v>46044</v>
      </c>
    </row>
    <row r="172" spans="1:10" ht="36" customHeight="1" x14ac:dyDescent="0.2">
      <c r="A172" s="34">
        <v>170</v>
      </c>
      <c r="B172" s="34" t="s">
        <v>541</v>
      </c>
      <c r="C172" s="34" t="s">
        <v>694</v>
      </c>
      <c r="D172" s="34" t="s">
        <v>13</v>
      </c>
      <c r="E172" s="3">
        <v>70000</v>
      </c>
      <c r="F172" s="3">
        <v>70000</v>
      </c>
      <c r="G172" s="3" t="s">
        <v>65</v>
      </c>
      <c r="H172" s="4" t="s">
        <v>545</v>
      </c>
      <c r="I172" s="7">
        <v>46044</v>
      </c>
    </row>
    <row r="173" spans="1:10" ht="36" customHeight="1" x14ac:dyDescent="0.2">
      <c r="A173" s="34">
        <v>171</v>
      </c>
      <c r="B173" s="34" t="s">
        <v>546</v>
      </c>
      <c r="C173" s="34" t="s">
        <v>695</v>
      </c>
      <c r="D173" s="34" t="s">
        <v>13</v>
      </c>
      <c r="E173" s="3">
        <v>62000</v>
      </c>
      <c r="F173" s="3">
        <v>62000</v>
      </c>
      <c r="G173" s="3" t="s">
        <v>65</v>
      </c>
      <c r="H173" s="4" t="s">
        <v>547</v>
      </c>
      <c r="I173" s="7">
        <v>46044</v>
      </c>
    </row>
    <row r="174" spans="1:10" ht="36" customHeight="1" x14ac:dyDescent="0.2">
      <c r="A174" s="34">
        <v>172</v>
      </c>
      <c r="B174" s="34" t="s">
        <v>548</v>
      </c>
      <c r="C174" s="34" t="s">
        <v>696</v>
      </c>
      <c r="D174" s="34" t="s">
        <v>13</v>
      </c>
      <c r="E174" s="3">
        <v>10000</v>
      </c>
      <c r="F174" s="3">
        <v>10000</v>
      </c>
      <c r="G174" s="3" t="s">
        <v>65</v>
      </c>
      <c r="H174" s="4" t="s">
        <v>549</v>
      </c>
      <c r="I174" s="7">
        <v>46044</v>
      </c>
      <c r="J174" s="53" t="s">
        <v>205</v>
      </c>
    </row>
    <row r="175" spans="1:10" ht="36" customHeight="1" x14ac:dyDescent="0.2">
      <c r="A175" s="34">
        <v>173</v>
      </c>
      <c r="B175" s="34" t="s">
        <v>550</v>
      </c>
      <c r="C175" s="34" t="s">
        <v>697</v>
      </c>
      <c r="D175" s="34" t="s">
        <v>13</v>
      </c>
      <c r="E175" s="3">
        <v>60500</v>
      </c>
      <c r="F175" s="3">
        <v>60500</v>
      </c>
      <c r="G175" s="3" t="s">
        <v>65</v>
      </c>
      <c r="H175" s="4" t="s">
        <v>551</v>
      </c>
      <c r="I175" s="7">
        <v>46044</v>
      </c>
    </row>
    <row r="176" spans="1:10" ht="36" customHeight="1" x14ac:dyDescent="0.2">
      <c r="A176" s="34">
        <v>174</v>
      </c>
      <c r="B176" s="34" t="s">
        <v>552</v>
      </c>
      <c r="C176" s="34" t="s">
        <v>698</v>
      </c>
      <c r="D176" s="34" t="s">
        <v>13</v>
      </c>
      <c r="E176" s="3">
        <v>90000</v>
      </c>
      <c r="F176" s="3">
        <v>90000</v>
      </c>
      <c r="G176" s="3" t="s">
        <v>65</v>
      </c>
      <c r="H176" s="4" t="s">
        <v>553</v>
      </c>
      <c r="I176" s="7">
        <v>46044</v>
      </c>
    </row>
    <row r="177" spans="1:9" ht="36" customHeight="1" x14ac:dyDescent="0.2">
      <c r="A177" s="34">
        <v>175</v>
      </c>
      <c r="B177" s="34" t="s">
        <v>554</v>
      </c>
      <c r="C177" s="57" t="s">
        <v>699</v>
      </c>
      <c r="D177" s="34" t="s">
        <v>13</v>
      </c>
      <c r="E177" s="3">
        <v>56974</v>
      </c>
      <c r="F177" s="3">
        <v>56974</v>
      </c>
      <c r="G177" s="3" t="s">
        <v>65</v>
      </c>
      <c r="H177" s="4" t="s">
        <v>555</v>
      </c>
      <c r="I177" s="7">
        <v>46044</v>
      </c>
    </row>
    <row r="178" spans="1:9" ht="36" customHeight="1" x14ac:dyDescent="0.2">
      <c r="A178" s="34">
        <v>176</v>
      </c>
      <c r="B178" s="34" t="s">
        <v>556</v>
      </c>
      <c r="C178" s="34" t="s">
        <v>700</v>
      </c>
      <c r="D178" s="34" t="s">
        <v>13</v>
      </c>
      <c r="E178" s="3">
        <v>4100</v>
      </c>
      <c r="F178" s="3">
        <v>4100</v>
      </c>
      <c r="G178" s="3" t="s">
        <v>65</v>
      </c>
      <c r="H178" s="4" t="s">
        <v>557</v>
      </c>
      <c r="I178" s="7">
        <v>46044</v>
      </c>
    </row>
    <row r="179" spans="1:9" ht="36" customHeight="1" x14ac:dyDescent="0.2">
      <c r="A179" s="34">
        <v>177</v>
      </c>
      <c r="B179" s="34" t="s">
        <v>558</v>
      </c>
      <c r="C179" s="34" t="s">
        <v>701</v>
      </c>
      <c r="D179" s="34" t="s">
        <v>13</v>
      </c>
      <c r="E179" s="3">
        <v>25000</v>
      </c>
      <c r="F179" s="3">
        <v>25000</v>
      </c>
      <c r="G179" s="3" t="s">
        <v>65</v>
      </c>
      <c r="H179" s="4" t="s">
        <v>559</v>
      </c>
      <c r="I179" s="7">
        <v>46044</v>
      </c>
    </row>
    <row r="180" spans="1:9" ht="36" customHeight="1" x14ac:dyDescent="0.2">
      <c r="A180" s="34">
        <v>178</v>
      </c>
      <c r="B180" s="34" t="s">
        <v>562</v>
      </c>
      <c r="C180" s="34" t="s">
        <v>702</v>
      </c>
      <c r="D180" s="34" t="s">
        <v>13</v>
      </c>
      <c r="E180" s="3">
        <v>3000</v>
      </c>
      <c r="F180" s="3">
        <v>3000</v>
      </c>
      <c r="G180" s="3" t="s">
        <v>65</v>
      </c>
      <c r="H180" s="4" t="s">
        <v>563</v>
      </c>
      <c r="I180" s="7">
        <v>46044</v>
      </c>
    </row>
    <row r="181" spans="1:9" ht="36" customHeight="1" x14ac:dyDescent="0.2">
      <c r="A181" s="34">
        <v>179</v>
      </c>
      <c r="B181" s="34" t="s">
        <v>564</v>
      </c>
      <c r="C181" s="34" t="s">
        <v>703</v>
      </c>
      <c r="D181" s="34" t="s">
        <v>13</v>
      </c>
      <c r="E181" s="3">
        <v>50000</v>
      </c>
      <c r="F181" s="3">
        <v>50000</v>
      </c>
      <c r="G181" s="3" t="s">
        <v>65</v>
      </c>
      <c r="H181" s="4" t="s">
        <v>565</v>
      </c>
      <c r="I181" s="7">
        <v>46044</v>
      </c>
    </row>
    <row r="182" spans="1:9" ht="36" customHeight="1" x14ac:dyDescent="0.2">
      <c r="A182" s="34">
        <v>180</v>
      </c>
      <c r="B182" s="34" t="s">
        <v>566</v>
      </c>
      <c r="C182" s="34" t="s">
        <v>704</v>
      </c>
      <c r="D182" s="34" t="s">
        <v>13</v>
      </c>
      <c r="E182" s="3">
        <v>30000</v>
      </c>
      <c r="F182" s="3">
        <v>30000</v>
      </c>
      <c r="G182" s="3" t="s">
        <v>65</v>
      </c>
      <c r="H182" s="4" t="s">
        <v>567</v>
      </c>
      <c r="I182" s="7">
        <v>46044</v>
      </c>
    </row>
    <row r="183" spans="1:9" ht="36" customHeight="1" x14ac:dyDescent="0.2">
      <c r="A183" s="34">
        <v>181</v>
      </c>
      <c r="B183" s="34" t="s">
        <v>568</v>
      </c>
      <c r="C183" s="57" t="s">
        <v>705</v>
      </c>
      <c r="D183" s="34" t="s">
        <v>13</v>
      </c>
      <c r="E183" s="3">
        <v>70000</v>
      </c>
      <c r="F183" s="3">
        <v>70000</v>
      </c>
      <c r="G183" s="3" t="s">
        <v>65</v>
      </c>
      <c r="H183" s="4" t="s">
        <v>569</v>
      </c>
      <c r="I183" s="7">
        <v>46044</v>
      </c>
    </row>
    <row r="184" spans="1:9" ht="36" customHeight="1" x14ac:dyDescent="0.2">
      <c r="A184" s="34">
        <v>182</v>
      </c>
      <c r="B184" s="34" t="s">
        <v>570</v>
      </c>
      <c r="C184" s="34" t="s">
        <v>706</v>
      </c>
      <c r="D184" s="34" t="s">
        <v>13</v>
      </c>
      <c r="E184" s="3">
        <v>115000</v>
      </c>
      <c r="F184" s="3">
        <v>115000</v>
      </c>
      <c r="G184" s="3" t="s">
        <v>65</v>
      </c>
      <c r="H184" s="4" t="s">
        <v>571</v>
      </c>
      <c r="I184" s="7">
        <v>46044</v>
      </c>
    </row>
    <row r="185" spans="1:9" ht="36" customHeight="1" x14ac:dyDescent="0.2">
      <c r="A185" s="34">
        <v>183</v>
      </c>
      <c r="B185" s="34" t="s">
        <v>572</v>
      </c>
      <c r="C185" s="34" t="s">
        <v>707</v>
      </c>
      <c r="D185" s="34" t="s">
        <v>13</v>
      </c>
      <c r="E185" s="3">
        <v>3000</v>
      </c>
      <c r="F185" s="3">
        <v>3000</v>
      </c>
      <c r="G185" s="3" t="s">
        <v>65</v>
      </c>
      <c r="H185" s="4" t="s">
        <v>573</v>
      </c>
      <c r="I185" s="7">
        <v>46044</v>
      </c>
    </row>
    <row r="186" spans="1:9" ht="36" customHeight="1" x14ac:dyDescent="0.2">
      <c r="A186" s="34">
        <v>184</v>
      </c>
      <c r="B186" s="34" t="s">
        <v>574</v>
      </c>
      <c r="C186" s="34" t="s">
        <v>708</v>
      </c>
      <c r="D186" s="34" t="s">
        <v>13</v>
      </c>
      <c r="E186" s="3">
        <v>3000</v>
      </c>
      <c r="F186" s="3">
        <v>3000</v>
      </c>
      <c r="G186" s="3" t="s">
        <v>65</v>
      </c>
      <c r="H186" s="4" t="s">
        <v>575</v>
      </c>
      <c r="I186" s="7">
        <v>46044</v>
      </c>
    </row>
    <row r="187" spans="1:9" ht="36" customHeight="1" x14ac:dyDescent="0.2">
      <c r="A187" s="34">
        <v>185</v>
      </c>
      <c r="B187" s="34" t="s">
        <v>576</v>
      </c>
      <c r="C187" s="34" t="s">
        <v>709</v>
      </c>
      <c r="D187" s="34" t="s">
        <v>13</v>
      </c>
      <c r="E187" s="3">
        <v>105000</v>
      </c>
      <c r="F187" s="3">
        <v>105000</v>
      </c>
      <c r="G187" s="3" t="s">
        <v>65</v>
      </c>
      <c r="H187" s="4" t="s">
        <v>577</v>
      </c>
      <c r="I187" s="7">
        <v>46044</v>
      </c>
    </row>
    <row r="188" spans="1:9" ht="36" customHeight="1" x14ac:dyDescent="0.2">
      <c r="A188" s="34">
        <v>186</v>
      </c>
      <c r="B188" s="34"/>
      <c r="C188" s="34"/>
      <c r="D188" s="34" t="s">
        <v>13</v>
      </c>
      <c r="E188" s="3">
        <v>70672</v>
      </c>
      <c r="F188" s="3">
        <v>70672</v>
      </c>
      <c r="G188" s="3" t="s">
        <v>65</v>
      </c>
      <c r="H188" s="4" t="s">
        <v>578</v>
      </c>
      <c r="I188" s="7">
        <v>46044</v>
      </c>
    </row>
    <row r="189" spans="1:9" ht="36" customHeight="1" x14ac:dyDescent="0.2">
      <c r="A189" s="34">
        <v>187</v>
      </c>
      <c r="B189" s="34" t="s">
        <v>579</v>
      </c>
      <c r="C189" s="34" t="s">
        <v>710</v>
      </c>
      <c r="D189" s="34" t="s">
        <v>13</v>
      </c>
      <c r="E189" s="3">
        <v>30000</v>
      </c>
      <c r="F189" s="3">
        <v>30000</v>
      </c>
      <c r="G189" s="3" t="s">
        <v>65</v>
      </c>
      <c r="H189" s="4" t="s">
        <v>580</v>
      </c>
      <c r="I189" s="7">
        <v>46044</v>
      </c>
    </row>
    <row r="190" spans="1:9" ht="36" customHeight="1" x14ac:dyDescent="0.2">
      <c r="A190" s="34">
        <v>188</v>
      </c>
      <c r="B190" s="34" t="s">
        <v>586</v>
      </c>
      <c r="C190" s="34" t="s">
        <v>711</v>
      </c>
      <c r="D190" s="34" t="s">
        <v>13</v>
      </c>
      <c r="E190" s="3">
        <v>25000</v>
      </c>
      <c r="F190" s="3">
        <v>25000</v>
      </c>
      <c r="G190" s="3" t="s">
        <v>65</v>
      </c>
      <c r="H190" s="4" t="s">
        <v>587</v>
      </c>
      <c r="I190" s="7">
        <v>46046</v>
      </c>
    </row>
    <row r="191" spans="1:9" ht="36" customHeight="1" x14ac:dyDescent="0.2">
      <c r="A191" s="34">
        <v>189</v>
      </c>
      <c r="B191" s="34" t="s">
        <v>588</v>
      </c>
      <c r="C191" s="34" t="s">
        <v>712</v>
      </c>
      <c r="D191" s="34" t="s">
        <v>14</v>
      </c>
      <c r="E191" s="3">
        <v>55000</v>
      </c>
      <c r="F191" s="3">
        <v>30000</v>
      </c>
      <c r="G191" s="3">
        <f>E191-F191</f>
        <v>25000</v>
      </c>
      <c r="H191" s="4" t="s">
        <v>589</v>
      </c>
      <c r="I191" s="7">
        <v>46046</v>
      </c>
    </row>
    <row r="192" spans="1:9" ht="36" customHeight="1" x14ac:dyDescent="0.2">
      <c r="A192" s="34">
        <v>190</v>
      </c>
      <c r="B192" s="34" t="s">
        <v>590</v>
      </c>
      <c r="C192" s="34" t="s">
        <v>713</v>
      </c>
      <c r="D192" s="34" t="s">
        <v>13</v>
      </c>
      <c r="E192" s="3">
        <v>70000</v>
      </c>
      <c r="F192" s="3">
        <v>70000</v>
      </c>
      <c r="G192" s="3" t="s">
        <v>65</v>
      </c>
      <c r="H192" s="4" t="s">
        <v>591</v>
      </c>
      <c r="I192" s="7">
        <v>46046</v>
      </c>
    </row>
    <row r="193" spans="1:9" ht="36" customHeight="1" x14ac:dyDescent="0.2">
      <c r="A193" s="34">
        <v>191</v>
      </c>
      <c r="B193" s="34" t="s">
        <v>592</v>
      </c>
      <c r="C193" s="34" t="s">
        <v>714</v>
      </c>
      <c r="D193" s="34" t="s">
        <v>13</v>
      </c>
      <c r="E193" s="3">
        <v>10000</v>
      </c>
      <c r="F193" s="3">
        <v>10000</v>
      </c>
      <c r="G193" s="3" t="s">
        <v>65</v>
      </c>
      <c r="H193" s="4" t="s">
        <v>593</v>
      </c>
      <c r="I193" s="7">
        <v>46046</v>
      </c>
    </row>
    <row r="194" spans="1:9" ht="36" customHeight="1" x14ac:dyDescent="0.2">
      <c r="A194" s="34">
        <v>192</v>
      </c>
      <c r="B194" s="34" t="s">
        <v>594</v>
      </c>
      <c r="C194" s="34" t="s">
        <v>715</v>
      </c>
      <c r="D194" s="34" t="s">
        <v>13</v>
      </c>
      <c r="E194" s="3">
        <v>50000</v>
      </c>
      <c r="F194" s="3">
        <v>50000</v>
      </c>
      <c r="G194" s="3" t="s">
        <v>65</v>
      </c>
      <c r="H194" s="4" t="s">
        <v>595</v>
      </c>
      <c r="I194" s="7">
        <v>46046</v>
      </c>
    </row>
    <row r="195" spans="1:9" ht="36" customHeight="1" x14ac:dyDescent="0.2">
      <c r="A195" s="34">
        <v>193</v>
      </c>
      <c r="B195" s="34" t="s">
        <v>596</v>
      </c>
      <c r="C195" s="34" t="s">
        <v>716</v>
      </c>
      <c r="D195" s="34" t="s">
        <v>13</v>
      </c>
      <c r="E195" s="3">
        <v>9700</v>
      </c>
      <c r="F195" s="3">
        <v>9700</v>
      </c>
      <c r="G195" s="3" t="s">
        <v>65</v>
      </c>
      <c r="H195" s="4" t="s">
        <v>597</v>
      </c>
      <c r="I195" s="7">
        <v>46046</v>
      </c>
    </row>
    <row r="196" spans="1:9" ht="36" customHeight="1" x14ac:dyDescent="0.2">
      <c r="A196" s="34">
        <v>194</v>
      </c>
      <c r="B196" s="34" t="s">
        <v>598</v>
      </c>
      <c r="C196" s="34" t="s">
        <v>717</v>
      </c>
      <c r="D196" s="34" t="s">
        <v>13</v>
      </c>
      <c r="E196" s="3">
        <v>29600</v>
      </c>
      <c r="F196" s="3">
        <v>29600</v>
      </c>
      <c r="G196" s="3" t="s">
        <v>65</v>
      </c>
      <c r="H196" s="4" t="s">
        <v>599</v>
      </c>
      <c r="I196" s="7">
        <v>46046</v>
      </c>
    </row>
    <row r="197" spans="1:9" ht="36" customHeight="1" x14ac:dyDescent="0.2">
      <c r="A197" s="34">
        <v>195</v>
      </c>
      <c r="B197" s="34" t="s">
        <v>600</v>
      </c>
      <c r="C197" s="34" t="s">
        <v>718</v>
      </c>
      <c r="D197" s="34" t="s">
        <v>13</v>
      </c>
      <c r="E197" s="3">
        <v>100780</v>
      </c>
      <c r="F197" s="3">
        <v>100780</v>
      </c>
      <c r="G197" s="3" t="s">
        <v>65</v>
      </c>
      <c r="H197" s="4" t="s">
        <v>601</v>
      </c>
      <c r="I197" s="7">
        <v>46046</v>
      </c>
    </row>
    <row r="198" spans="1:9" ht="36" customHeight="1" x14ac:dyDescent="0.2">
      <c r="A198" s="34">
        <v>196</v>
      </c>
      <c r="B198" s="34" t="s">
        <v>602</v>
      </c>
      <c r="C198" s="34" t="s">
        <v>685</v>
      </c>
      <c r="D198" s="34" t="s">
        <v>13</v>
      </c>
      <c r="E198" s="3">
        <v>37800</v>
      </c>
      <c r="F198" s="3">
        <v>37800</v>
      </c>
      <c r="G198" s="3" t="s">
        <v>65</v>
      </c>
      <c r="H198" s="4" t="s">
        <v>603</v>
      </c>
      <c r="I198" s="7">
        <v>46046</v>
      </c>
    </row>
    <row r="199" spans="1:9" ht="36" customHeight="1" x14ac:dyDescent="0.2">
      <c r="A199" s="34">
        <v>198</v>
      </c>
      <c r="B199" s="34" t="s">
        <v>606</v>
      </c>
      <c r="C199" s="34" t="s">
        <v>719</v>
      </c>
      <c r="D199" s="34" t="s">
        <v>13</v>
      </c>
      <c r="E199" s="3">
        <v>30000</v>
      </c>
      <c r="F199" s="3">
        <v>30000</v>
      </c>
      <c r="G199" s="3" t="s">
        <v>65</v>
      </c>
      <c r="H199" s="4" t="s">
        <v>607</v>
      </c>
      <c r="I199" s="7">
        <v>46046</v>
      </c>
    </row>
    <row r="200" spans="1:9" ht="36" customHeight="1" x14ac:dyDescent="0.2">
      <c r="A200" s="34">
        <v>199</v>
      </c>
      <c r="B200" s="34" t="s">
        <v>632</v>
      </c>
      <c r="C200" s="34" t="s">
        <v>720</v>
      </c>
      <c r="D200" s="34" t="s">
        <v>125</v>
      </c>
      <c r="E200" s="3">
        <v>18000</v>
      </c>
      <c r="F200" s="3">
        <v>18000</v>
      </c>
      <c r="G200" s="3" t="s">
        <v>65</v>
      </c>
      <c r="H200" s="4" t="s">
        <v>609</v>
      </c>
      <c r="I200" s="7">
        <v>46046</v>
      </c>
    </row>
    <row r="201" spans="1:9" ht="36" customHeight="1" x14ac:dyDescent="0.2">
      <c r="A201" s="34">
        <v>200</v>
      </c>
      <c r="B201" s="34" t="s">
        <v>608</v>
      </c>
      <c r="C201" s="34" t="s">
        <v>721</v>
      </c>
      <c r="D201" s="34" t="s">
        <v>125</v>
      </c>
      <c r="E201" s="3">
        <v>18000</v>
      </c>
      <c r="F201" s="3">
        <v>18000</v>
      </c>
      <c r="G201" s="3" t="s">
        <v>65</v>
      </c>
      <c r="H201" s="4" t="s">
        <v>610</v>
      </c>
      <c r="I201" s="7">
        <v>46046</v>
      </c>
    </row>
    <row r="202" spans="1:9" ht="36" customHeight="1" x14ac:dyDescent="0.2">
      <c r="A202" s="34">
        <v>201</v>
      </c>
      <c r="B202" s="34"/>
      <c r="C202" s="34"/>
      <c r="D202" s="34" t="s">
        <v>13</v>
      </c>
      <c r="E202" s="3">
        <v>40000</v>
      </c>
      <c r="F202" s="3">
        <v>40000</v>
      </c>
      <c r="G202" s="3" t="s">
        <v>65</v>
      </c>
      <c r="H202" s="4" t="s">
        <v>611</v>
      </c>
      <c r="I202" s="7">
        <v>46046</v>
      </c>
    </row>
    <row r="203" spans="1:9" ht="36" customHeight="1" x14ac:dyDescent="0.2">
      <c r="A203" s="34">
        <v>202</v>
      </c>
      <c r="B203" s="34" t="s">
        <v>612</v>
      </c>
      <c r="C203" s="34" t="s">
        <v>722</v>
      </c>
      <c r="D203" s="34" t="s">
        <v>13</v>
      </c>
      <c r="E203" s="3">
        <v>90480</v>
      </c>
      <c r="F203" s="3">
        <v>90480</v>
      </c>
      <c r="G203" s="3" t="s">
        <v>65</v>
      </c>
      <c r="H203" s="4" t="s">
        <v>613</v>
      </c>
      <c r="I203" s="7">
        <v>46047</v>
      </c>
    </row>
    <row r="204" spans="1:9" ht="36" customHeight="1" x14ac:dyDescent="0.2">
      <c r="A204" s="34">
        <v>203</v>
      </c>
      <c r="B204" s="34" t="s">
        <v>614</v>
      </c>
      <c r="C204" s="34" t="s">
        <v>723</v>
      </c>
      <c r="D204" s="34" t="s">
        <v>13</v>
      </c>
      <c r="E204" s="3">
        <v>39000</v>
      </c>
      <c r="F204" s="3">
        <v>39000</v>
      </c>
      <c r="G204" s="3" t="s">
        <v>65</v>
      </c>
      <c r="H204" s="4" t="s">
        <v>615</v>
      </c>
      <c r="I204" s="7">
        <v>46047</v>
      </c>
    </row>
    <row r="205" spans="1:9" ht="36" customHeight="1" x14ac:dyDescent="0.2">
      <c r="A205" s="34">
        <v>204</v>
      </c>
      <c r="B205" s="34" t="s">
        <v>616</v>
      </c>
      <c r="C205" s="57" t="s">
        <v>724</v>
      </c>
      <c r="D205" s="34" t="s">
        <v>13</v>
      </c>
      <c r="E205" s="3">
        <v>25000</v>
      </c>
      <c r="F205" s="3">
        <v>25000</v>
      </c>
      <c r="G205" s="3" t="s">
        <v>65</v>
      </c>
      <c r="H205" s="4" t="s">
        <v>617</v>
      </c>
      <c r="I205" s="7">
        <v>46047</v>
      </c>
    </row>
    <row r="206" spans="1:9" ht="36" customHeight="1" x14ac:dyDescent="0.2">
      <c r="A206" s="34">
        <v>205</v>
      </c>
      <c r="B206" s="34" t="s">
        <v>618</v>
      </c>
      <c r="C206" s="34" t="s">
        <v>725</v>
      </c>
      <c r="D206" s="34" t="s">
        <v>13</v>
      </c>
      <c r="E206" s="3">
        <v>70000</v>
      </c>
      <c r="F206" s="3">
        <v>70000</v>
      </c>
      <c r="G206" s="3" t="s">
        <v>65</v>
      </c>
      <c r="H206" s="4" t="s">
        <v>619</v>
      </c>
      <c r="I206" s="7">
        <v>46047</v>
      </c>
    </row>
    <row r="207" spans="1:9" ht="36" customHeight="1" x14ac:dyDescent="0.2">
      <c r="A207" s="34">
        <v>206</v>
      </c>
      <c r="B207" s="34" t="s">
        <v>620</v>
      </c>
      <c r="C207" s="34" t="s">
        <v>721</v>
      </c>
      <c r="D207" s="34" t="s">
        <v>13</v>
      </c>
      <c r="E207" s="3">
        <v>101750</v>
      </c>
      <c r="F207" s="3">
        <v>101750</v>
      </c>
      <c r="G207" s="3" t="s">
        <v>65</v>
      </c>
      <c r="H207" s="4" t="s">
        <v>621</v>
      </c>
      <c r="I207" s="7">
        <v>46048</v>
      </c>
    </row>
    <row r="208" spans="1:9" ht="36" customHeight="1" x14ac:dyDescent="0.2">
      <c r="A208" s="34">
        <v>208</v>
      </c>
      <c r="B208" s="34" t="s">
        <v>622</v>
      </c>
      <c r="C208" s="34" t="s">
        <v>728</v>
      </c>
      <c r="D208" s="34" t="s">
        <v>13</v>
      </c>
      <c r="E208" s="3">
        <v>40000</v>
      </c>
      <c r="F208" s="3">
        <v>40000</v>
      </c>
      <c r="G208" s="3" t="s">
        <v>65</v>
      </c>
      <c r="H208" s="4" t="s">
        <v>623</v>
      </c>
      <c r="I208" s="7">
        <v>46048</v>
      </c>
    </row>
    <row r="209" spans="1:10" ht="36" customHeight="1" x14ac:dyDescent="0.2">
      <c r="A209" s="34">
        <v>209</v>
      </c>
      <c r="B209" s="34" t="s">
        <v>624</v>
      </c>
      <c r="C209" s="34" t="s">
        <v>729</v>
      </c>
      <c r="D209" s="34" t="s">
        <v>13</v>
      </c>
      <c r="E209" s="3">
        <v>31840</v>
      </c>
      <c r="F209" s="3">
        <v>31840</v>
      </c>
      <c r="G209" s="3" t="s">
        <v>65</v>
      </c>
      <c r="H209" s="4" t="s">
        <v>625</v>
      </c>
      <c r="I209" s="7">
        <v>46048</v>
      </c>
    </row>
    <row r="210" spans="1:10" ht="36" customHeight="1" x14ac:dyDescent="0.2">
      <c r="A210" s="34">
        <v>210</v>
      </c>
      <c r="B210" s="34" t="s">
        <v>626</v>
      </c>
      <c r="C210" s="34" t="s">
        <v>730</v>
      </c>
      <c r="D210" s="34" t="s">
        <v>13</v>
      </c>
      <c r="E210" s="3">
        <v>50000</v>
      </c>
      <c r="F210" s="3">
        <v>50000</v>
      </c>
      <c r="G210" s="3" t="s">
        <v>65</v>
      </c>
      <c r="H210" s="4" t="s">
        <v>627</v>
      </c>
      <c r="I210" s="7">
        <v>46048</v>
      </c>
    </row>
    <row r="211" spans="1:10" ht="36" customHeight="1" x14ac:dyDescent="0.2">
      <c r="A211" s="34">
        <v>211</v>
      </c>
      <c r="B211" s="34" t="s">
        <v>628</v>
      </c>
      <c r="C211" s="34" t="s">
        <v>731</v>
      </c>
      <c r="D211" s="34" t="s">
        <v>13</v>
      </c>
      <c r="E211" s="3">
        <v>20000</v>
      </c>
      <c r="F211" s="3">
        <v>20000</v>
      </c>
      <c r="G211" s="3" t="s">
        <v>65</v>
      </c>
      <c r="H211" s="4" t="s">
        <v>629</v>
      </c>
      <c r="I211" s="7">
        <v>46048</v>
      </c>
    </row>
    <row r="212" spans="1:10" ht="36" customHeight="1" x14ac:dyDescent="0.2">
      <c r="A212" s="34">
        <v>212</v>
      </c>
      <c r="B212" s="34" t="s">
        <v>494</v>
      </c>
      <c r="C212" s="34" t="s">
        <v>670</v>
      </c>
      <c r="D212" s="34" t="s">
        <v>13</v>
      </c>
      <c r="E212" s="3">
        <v>15800</v>
      </c>
      <c r="F212" s="3">
        <v>15800</v>
      </c>
      <c r="G212" s="3" t="s">
        <v>65</v>
      </c>
      <c r="H212" s="4" t="s">
        <v>630</v>
      </c>
      <c r="I212" s="7">
        <v>46048</v>
      </c>
    </row>
    <row r="213" spans="1:10" ht="36" customHeight="1" x14ac:dyDescent="0.2">
      <c r="A213" s="34">
        <v>213</v>
      </c>
      <c r="B213" s="34" t="s">
        <v>631</v>
      </c>
      <c r="C213" s="34" t="s">
        <v>732</v>
      </c>
      <c r="D213" s="34" t="s">
        <v>13</v>
      </c>
      <c r="E213" s="3">
        <v>28000</v>
      </c>
      <c r="F213" s="3">
        <v>28000</v>
      </c>
      <c r="G213" s="3" t="s">
        <v>65</v>
      </c>
      <c r="H213" s="4" t="s">
        <v>366</v>
      </c>
      <c r="I213" s="7">
        <v>46048</v>
      </c>
    </row>
    <row r="214" spans="1:10" ht="36" customHeight="1" x14ac:dyDescent="0.2">
      <c r="A214" s="34">
        <v>215</v>
      </c>
      <c r="B214" s="34" t="s">
        <v>594</v>
      </c>
      <c r="C214" s="34" t="s">
        <v>741</v>
      </c>
      <c r="D214" s="34" t="s">
        <v>13</v>
      </c>
      <c r="E214" s="3">
        <v>50000</v>
      </c>
      <c r="F214" s="3">
        <v>50000</v>
      </c>
      <c r="G214" s="3" t="s">
        <v>65</v>
      </c>
      <c r="H214" s="4" t="s">
        <v>595</v>
      </c>
      <c r="I214" s="7">
        <v>46048</v>
      </c>
    </row>
    <row r="215" spans="1:10" ht="36" customHeight="1" x14ac:dyDescent="0.2">
      <c r="A215" s="34">
        <v>216</v>
      </c>
      <c r="B215" s="34" t="s">
        <v>604</v>
      </c>
      <c r="C215" s="34" t="s">
        <v>733</v>
      </c>
      <c r="D215" s="34" t="s">
        <v>13</v>
      </c>
      <c r="E215" s="3">
        <v>30000</v>
      </c>
      <c r="F215" s="3">
        <v>30000</v>
      </c>
      <c r="G215" s="3" t="s">
        <v>65</v>
      </c>
      <c r="H215" s="4" t="s">
        <v>605</v>
      </c>
      <c r="I215" s="7">
        <v>46048</v>
      </c>
      <c r="J215" s="53" t="s">
        <v>205</v>
      </c>
    </row>
    <row r="216" spans="1:10" ht="36" customHeight="1" x14ac:dyDescent="0.2">
      <c r="A216" s="34">
        <v>217</v>
      </c>
      <c r="B216" s="34" t="s">
        <v>633</v>
      </c>
      <c r="C216" s="34" t="s">
        <v>734</v>
      </c>
      <c r="D216" s="34" t="s">
        <v>13</v>
      </c>
      <c r="E216" s="3">
        <v>40000</v>
      </c>
      <c r="F216" s="3">
        <v>40000</v>
      </c>
      <c r="G216" s="3" t="s">
        <v>65</v>
      </c>
      <c r="H216" s="4" t="s">
        <v>634</v>
      </c>
      <c r="I216" s="7">
        <v>46048</v>
      </c>
    </row>
    <row r="217" spans="1:10" ht="36" customHeight="1" x14ac:dyDescent="0.2">
      <c r="A217" s="34">
        <v>218</v>
      </c>
      <c r="B217" s="34" t="s">
        <v>635</v>
      </c>
      <c r="C217" s="34" t="s">
        <v>735</v>
      </c>
      <c r="D217" s="34" t="s">
        <v>13</v>
      </c>
      <c r="E217" s="3">
        <v>22200</v>
      </c>
      <c r="F217" s="3">
        <v>22200</v>
      </c>
      <c r="G217" s="3" t="s">
        <v>65</v>
      </c>
      <c r="H217" s="4" t="s">
        <v>636</v>
      </c>
      <c r="I217" s="7">
        <v>46048</v>
      </c>
    </row>
    <row r="218" spans="1:10" ht="36" customHeight="1" x14ac:dyDescent="0.2">
      <c r="A218" s="34">
        <v>219</v>
      </c>
      <c r="B218" s="34" t="s">
        <v>637</v>
      </c>
      <c r="C218" s="34" t="s">
        <v>736</v>
      </c>
      <c r="D218" s="34" t="s">
        <v>13</v>
      </c>
      <c r="E218" s="3">
        <v>27100</v>
      </c>
      <c r="F218" s="3">
        <v>27100</v>
      </c>
      <c r="G218" s="3" t="s">
        <v>65</v>
      </c>
      <c r="H218" s="4" t="s">
        <v>638</v>
      </c>
      <c r="I218" s="7">
        <v>46048</v>
      </c>
    </row>
    <row r="219" spans="1:10" ht="36" customHeight="1" x14ac:dyDescent="0.2">
      <c r="A219" s="34">
        <v>220</v>
      </c>
      <c r="B219" s="34" t="s">
        <v>639</v>
      </c>
      <c r="C219" s="34" t="s">
        <v>737</v>
      </c>
      <c r="D219" s="34" t="s">
        <v>13</v>
      </c>
      <c r="E219" s="3">
        <v>10000</v>
      </c>
      <c r="F219" s="3">
        <v>10000</v>
      </c>
      <c r="G219" s="3" t="s">
        <v>65</v>
      </c>
      <c r="H219" s="4" t="s">
        <v>640</v>
      </c>
      <c r="I219" s="7">
        <v>46048</v>
      </c>
    </row>
    <row r="220" spans="1:10" ht="36" customHeight="1" x14ac:dyDescent="0.2">
      <c r="A220" s="34">
        <v>221</v>
      </c>
      <c r="B220" s="34" t="s">
        <v>641</v>
      </c>
      <c r="C220" s="34" t="s">
        <v>738</v>
      </c>
      <c r="D220" s="34" t="s">
        <v>13</v>
      </c>
      <c r="E220" s="3">
        <v>50000</v>
      </c>
      <c r="F220" s="3">
        <v>50000</v>
      </c>
      <c r="G220" s="3" t="s">
        <v>65</v>
      </c>
      <c r="H220" s="4" t="s">
        <v>642</v>
      </c>
      <c r="I220" s="7">
        <v>46048</v>
      </c>
    </row>
    <row r="221" spans="1:10" ht="36" customHeight="1" x14ac:dyDescent="0.2">
      <c r="A221" s="34">
        <v>222</v>
      </c>
      <c r="B221" s="34" t="s">
        <v>689</v>
      </c>
      <c r="C221" s="34" t="s">
        <v>739</v>
      </c>
      <c r="D221" s="34" t="s">
        <v>13</v>
      </c>
      <c r="E221" s="3">
        <v>90000</v>
      </c>
      <c r="F221" s="3">
        <v>90000</v>
      </c>
      <c r="G221" s="3" t="s">
        <v>65</v>
      </c>
      <c r="H221" s="4" t="s">
        <v>690</v>
      </c>
      <c r="I221" s="7">
        <v>46049</v>
      </c>
    </row>
    <row r="222" spans="1:10" ht="36" customHeight="1" x14ac:dyDescent="0.2">
      <c r="A222" s="34">
        <v>223</v>
      </c>
      <c r="B222" s="34" t="s">
        <v>726</v>
      </c>
      <c r="C222" s="34" t="s">
        <v>740</v>
      </c>
      <c r="D222" s="34" t="s">
        <v>13</v>
      </c>
      <c r="E222" s="3">
        <v>121850</v>
      </c>
      <c r="F222" s="3">
        <v>121850</v>
      </c>
      <c r="G222" s="3" t="s">
        <v>65</v>
      </c>
      <c r="H222" s="4" t="s">
        <v>727</v>
      </c>
      <c r="I222" s="7">
        <v>46049</v>
      </c>
    </row>
    <row r="223" spans="1:10" ht="36" customHeight="1" x14ac:dyDescent="0.2">
      <c r="A223" s="45"/>
      <c r="B223" s="45"/>
      <c r="C223" s="45"/>
      <c r="D223" s="45"/>
      <c r="E223" s="46"/>
      <c r="F223" s="46"/>
      <c r="G223" s="46"/>
      <c r="H223" s="47"/>
      <c r="I223" s="48"/>
    </row>
    <row r="224" spans="1:10" ht="36" customHeight="1" x14ac:dyDescent="0.2">
      <c r="A224" s="45"/>
      <c r="B224" s="45"/>
      <c r="C224" s="45"/>
      <c r="D224" s="45"/>
      <c r="E224" s="46"/>
      <c r="F224" s="46"/>
      <c r="G224" s="46"/>
      <c r="H224" s="47"/>
      <c r="I224" s="48"/>
    </row>
    <row r="225" spans="1:9" ht="36" customHeight="1" x14ac:dyDescent="0.2">
      <c r="A225" s="45"/>
      <c r="B225" s="45"/>
      <c r="C225" s="45"/>
      <c r="D225" s="45"/>
      <c r="E225" s="46"/>
      <c r="F225" s="46"/>
      <c r="G225" s="46"/>
      <c r="H225" s="47"/>
      <c r="I225" s="48"/>
    </row>
    <row r="226" spans="1:9" ht="36" customHeight="1" x14ac:dyDescent="0.2">
      <c r="A226" s="45"/>
      <c r="B226" s="45"/>
      <c r="C226" s="45"/>
      <c r="D226" s="45"/>
      <c r="E226" s="46"/>
      <c r="F226" s="46"/>
      <c r="G226" s="46"/>
      <c r="H226" s="47"/>
      <c r="I226" s="48"/>
    </row>
    <row r="227" spans="1:9" ht="36" customHeight="1" x14ac:dyDescent="0.2">
      <c r="A227" s="45"/>
      <c r="B227" s="45"/>
      <c r="C227" s="45"/>
      <c r="D227" s="45"/>
      <c r="E227" s="46"/>
      <c r="F227" s="46"/>
      <c r="G227" s="46"/>
      <c r="H227" s="47"/>
      <c r="I227" s="48"/>
    </row>
    <row r="228" spans="1:9" ht="36" customHeight="1" x14ac:dyDescent="0.2">
      <c r="A228" s="45"/>
      <c r="B228" s="45"/>
      <c r="C228" s="45"/>
      <c r="D228" s="45"/>
      <c r="E228" s="46"/>
      <c r="F228" s="46"/>
      <c r="G228" s="46"/>
      <c r="H228" s="47"/>
      <c r="I228" s="48"/>
    </row>
    <row r="229" spans="1:9" ht="36" customHeight="1" x14ac:dyDescent="0.2">
      <c r="A229" s="45"/>
      <c r="B229" s="45"/>
      <c r="C229" s="45"/>
      <c r="D229" s="45"/>
      <c r="E229" s="46"/>
      <c r="F229" s="46"/>
      <c r="G229" s="46"/>
      <c r="H229" s="47"/>
      <c r="I229" s="48"/>
    </row>
    <row r="230" spans="1:9" ht="36" customHeight="1" x14ac:dyDescent="0.2">
      <c r="A230" s="45"/>
      <c r="B230" s="45"/>
      <c r="C230" s="45"/>
      <c r="D230" s="45"/>
      <c r="E230" s="46"/>
      <c r="F230" s="46"/>
      <c r="G230" s="46"/>
      <c r="H230" s="47"/>
      <c r="I230" s="48"/>
    </row>
    <row r="231" spans="1:9" ht="36" customHeight="1" x14ac:dyDescent="0.2">
      <c r="A231" s="45"/>
      <c r="B231" s="45"/>
      <c r="C231" s="45"/>
      <c r="D231" s="45"/>
      <c r="E231" s="46"/>
      <c r="F231" s="46"/>
      <c r="G231" s="46"/>
      <c r="H231" s="47"/>
      <c r="I231" s="48"/>
    </row>
    <row r="232" spans="1:9" ht="36" customHeight="1" x14ac:dyDescent="0.2">
      <c r="A232" s="45"/>
      <c r="B232" s="45"/>
      <c r="C232" s="45"/>
      <c r="D232" s="45"/>
      <c r="E232" s="46"/>
      <c r="F232" s="46"/>
      <c r="G232" s="46"/>
      <c r="H232" s="47"/>
      <c r="I232" s="48"/>
    </row>
    <row r="233" spans="1:9" ht="36" customHeight="1" x14ac:dyDescent="0.2">
      <c r="A233" s="54"/>
      <c r="B233" s="45"/>
      <c r="C233" s="45"/>
      <c r="D233" s="45"/>
      <c r="E233" s="46"/>
      <c r="F233" s="46"/>
      <c r="G233" s="45"/>
      <c r="H233" s="47"/>
      <c r="I233" s="48"/>
    </row>
    <row r="234" spans="1:9" ht="36" customHeight="1" x14ac:dyDescent="0.2">
      <c r="A234" s="63" t="s">
        <v>92</v>
      </c>
      <c r="B234" s="64"/>
      <c r="C234" s="64"/>
      <c r="D234" s="64"/>
      <c r="E234" s="64"/>
      <c r="F234" s="64"/>
      <c r="G234" s="64"/>
      <c r="H234" s="64"/>
      <c r="I234" s="65"/>
    </row>
    <row r="235" spans="1:9" ht="36" customHeight="1" x14ac:dyDescent="0.2">
      <c r="A235" s="28" t="s">
        <v>0</v>
      </c>
      <c r="B235" s="28" t="s">
        <v>1</v>
      </c>
      <c r="C235" s="28" t="s">
        <v>2</v>
      </c>
      <c r="D235" s="28" t="s">
        <v>3</v>
      </c>
      <c r="E235" s="29" t="s">
        <v>34</v>
      </c>
      <c r="F235" s="29" t="s">
        <v>4</v>
      </c>
      <c r="G235" s="28" t="s">
        <v>11</v>
      </c>
      <c r="H235" s="30" t="s">
        <v>5</v>
      </c>
      <c r="I235" s="31" t="s">
        <v>31</v>
      </c>
    </row>
    <row r="236" spans="1:9" ht="36" customHeight="1" x14ac:dyDescent="0.2">
      <c r="A236" s="34">
        <v>1</v>
      </c>
      <c r="B236" s="33" t="s">
        <v>93</v>
      </c>
      <c r="C236" s="33" t="s">
        <v>94</v>
      </c>
      <c r="D236" s="33" t="s">
        <v>13</v>
      </c>
      <c r="E236" s="3">
        <v>20000</v>
      </c>
      <c r="F236" s="3">
        <v>20000</v>
      </c>
      <c r="G236" s="33" t="s">
        <v>65</v>
      </c>
      <c r="H236" s="4" t="s">
        <v>95</v>
      </c>
      <c r="I236" s="7">
        <v>46025</v>
      </c>
    </row>
    <row r="237" spans="1:9" ht="36" customHeight="1" x14ac:dyDescent="0.2">
      <c r="A237" s="34">
        <v>2</v>
      </c>
      <c r="B237" s="34" t="s">
        <v>218</v>
      </c>
      <c r="C237" s="41" t="s">
        <v>348</v>
      </c>
      <c r="D237" s="34" t="s">
        <v>13</v>
      </c>
      <c r="E237" s="3">
        <v>20000</v>
      </c>
      <c r="F237" s="3">
        <v>20000</v>
      </c>
      <c r="G237" s="3" t="s">
        <v>65</v>
      </c>
      <c r="H237" s="4" t="s">
        <v>219</v>
      </c>
      <c r="I237" s="7">
        <v>46035</v>
      </c>
    </row>
    <row r="238" spans="1:9" ht="36" customHeight="1" x14ac:dyDescent="0.2">
      <c r="A238" s="34">
        <v>3</v>
      </c>
      <c r="B238" s="34" t="s">
        <v>307</v>
      </c>
      <c r="C238" s="34" t="s">
        <v>305</v>
      </c>
      <c r="D238" s="34" t="s">
        <v>13</v>
      </c>
      <c r="E238" s="3">
        <v>20000</v>
      </c>
      <c r="F238" s="3">
        <v>20000</v>
      </c>
      <c r="G238" s="3" t="s">
        <v>65</v>
      </c>
      <c r="H238" s="4" t="s">
        <v>306</v>
      </c>
      <c r="I238" s="7">
        <v>46037</v>
      </c>
    </row>
    <row r="239" spans="1:9" ht="36" customHeight="1" x14ac:dyDescent="0.2">
      <c r="A239" s="34">
        <v>4</v>
      </c>
      <c r="B239" s="34" t="s">
        <v>216</v>
      </c>
      <c r="C239" s="34" t="s">
        <v>252</v>
      </c>
      <c r="D239" s="34" t="s">
        <v>13</v>
      </c>
      <c r="E239" s="3">
        <v>20000</v>
      </c>
      <c r="F239" s="3">
        <v>20000</v>
      </c>
      <c r="G239" s="3" t="s">
        <v>65</v>
      </c>
      <c r="H239" s="4" t="s">
        <v>325</v>
      </c>
      <c r="I239" s="7">
        <v>46039</v>
      </c>
    </row>
    <row r="240" spans="1:9" ht="36" customHeight="1" x14ac:dyDescent="0.2">
      <c r="A240" s="34">
        <v>5</v>
      </c>
      <c r="B240" s="34" t="s">
        <v>334</v>
      </c>
      <c r="C240" s="34" t="s">
        <v>349</v>
      </c>
      <c r="D240" s="34" t="s">
        <v>13</v>
      </c>
      <c r="E240" s="3">
        <v>50000</v>
      </c>
      <c r="F240" s="3">
        <v>50000</v>
      </c>
      <c r="G240" s="3" t="s">
        <v>65</v>
      </c>
      <c r="H240" s="4" t="s">
        <v>335</v>
      </c>
      <c r="I240" s="7">
        <v>46039</v>
      </c>
    </row>
    <row r="241" spans="1:9" ht="36" customHeight="1" x14ac:dyDescent="0.2">
      <c r="A241" s="34">
        <v>6</v>
      </c>
      <c r="B241" s="34" t="s">
        <v>350</v>
      </c>
      <c r="C241" s="34" t="s">
        <v>362</v>
      </c>
      <c r="D241" s="34" t="s">
        <v>13</v>
      </c>
      <c r="E241" s="3">
        <v>20000</v>
      </c>
      <c r="F241" s="3">
        <v>20000</v>
      </c>
      <c r="G241" s="3" t="s">
        <v>65</v>
      </c>
      <c r="H241" s="4" t="s">
        <v>351</v>
      </c>
      <c r="I241" s="7">
        <v>46039</v>
      </c>
    </row>
    <row r="242" spans="1:9" ht="36" customHeight="1" x14ac:dyDescent="0.2">
      <c r="A242" s="34">
        <v>7</v>
      </c>
      <c r="B242" s="34" t="s">
        <v>352</v>
      </c>
      <c r="C242" s="34" t="s">
        <v>363</v>
      </c>
      <c r="D242" s="34" t="s">
        <v>13</v>
      </c>
      <c r="E242" s="3">
        <v>35000</v>
      </c>
      <c r="F242" s="3">
        <v>35000</v>
      </c>
      <c r="G242" s="3" t="s">
        <v>65</v>
      </c>
      <c r="H242" s="4" t="s">
        <v>353</v>
      </c>
      <c r="I242" s="7">
        <v>46039</v>
      </c>
    </row>
    <row r="243" spans="1:9" ht="36" customHeight="1" x14ac:dyDescent="0.2">
      <c r="A243" s="34">
        <v>8</v>
      </c>
      <c r="B243" s="34" t="s">
        <v>354</v>
      </c>
      <c r="C243" s="34" t="s">
        <v>364</v>
      </c>
      <c r="D243" s="34" t="s">
        <v>13</v>
      </c>
      <c r="E243" s="3">
        <v>30000</v>
      </c>
      <c r="F243" s="3">
        <v>30000</v>
      </c>
      <c r="G243" s="3" t="s">
        <v>65</v>
      </c>
      <c r="H243" s="4" t="s">
        <v>355</v>
      </c>
      <c r="I243" s="7">
        <v>46039</v>
      </c>
    </row>
    <row r="244" spans="1:9" ht="36" customHeight="1" x14ac:dyDescent="0.2">
      <c r="A244" s="34">
        <v>9</v>
      </c>
      <c r="B244" s="34" t="s">
        <v>457</v>
      </c>
      <c r="C244" s="34" t="s">
        <v>742</v>
      </c>
      <c r="D244" s="34" t="s">
        <v>13</v>
      </c>
      <c r="E244" s="3">
        <v>24200</v>
      </c>
      <c r="F244" s="3">
        <v>24200</v>
      </c>
      <c r="G244" s="3" t="s">
        <v>65</v>
      </c>
      <c r="H244" s="4" t="s">
        <v>458</v>
      </c>
      <c r="I244" s="7">
        <v>46042</v>
      </c>
    </row>
    <row r="245" spans="1:9" ht="36" customHeight="1" x14ac:dyDescent="0.2">
      <c r="A245" s="34">
        <v>10</v>
      </c>
      <c r="B245" s="34" t="s">
        <v>505</v>
      </c>
      <c r="C245" s="34" t="s">
        <v>743</v>
      </c>
      <c r="D245" s="34" t="s">
        <v>13</v>
      </c>
      <c r="E245" s="3">
        <v>30000</v>
      </c>
      <c r="F245" s="3">
        <v>30000</v>
      </c>
      <c r="G245" s="3" t="s">
        <v>65</v>
      </c>
      <c r="H245" s="4" t="s">
        <v>506</v>
      </c>
      <c r="I245" s="7">
        <v>46043</v>
      </c>
    </row>
    <row r="246" spans="1:9" ht="36" customHeight="1" x14ac:dyDescent="0.2">
      <c r="A246" s="34">
        <v>11</v>
      </c>
      <c r="B246" s="34" t="s">
        <v>528</v>
      </c>
      <c r="C246" s="34" t="s">
        <v>744</v>
      </c>
      <c r="D246" s="34" t="s">
        <v>14</v>
      </c>
      <c r="E246" s="3">
        <v>88240</v>
      </c>
      <c r="F246" s="3">
        <v>40000</v>
      </c>
      <c r="G246" s="3">
        <v>48240</v>
      </c>
      <c r="H246" s="4" t="s">
        <v>529</v>
      </c>
      <c r="I246" s="7">
        <v>46044</v>
      </c>
    </row>
    <row r="247" spans="1:9" ht="36" customHeight="1" x14ac:dyDescent="0.2">
      <c r="A247" s="34">
        <v>12</v>
      </c>
      <c r="B247" s="34" t="s">
        <v>560</v>
      </c>
      <c r="C247" s="34" t="s">
        <v>745</v>
      </c>
      <c r="D247" s="34" t="s">
        <v>13</v>
      </c>
      <c r="E247" s="3">
        <v>40000</v>
      </c>
      <c r="F247" s="3">
        <v>40000</v>
      </c>
      <c r="G247" s="3" t="s">
        <v>65</v>
      </c>
      <c r="H247" s="4" t="s">
        <v>561</v>
      </c>
      <c r="I247" s="7">
        <v>46044</v>
      </c>
    </row>
    <row r="248" spans="1:9" ht="36" customHeight="1" x14ac:dyDescent="0.2">
      <c r="A248" s="34">
        <v>13</v>
      </c>
      <c r="B248" s="34" t="s">
        <v>582</v>
      </c>
      <c r="C248" s="34" t="s">
        <v>746</v>
      </c>
      <c r="D248" s="34" t="s">
        <v>14</v>
      </c>
      <c r="E248" s="3">
        <v>66640</v>
      </c>
      <c r="F248" s="3">
        <v>30000</v>
      </c>
      <c r="G248" s="3">
        <f>E248-F248</f>
        <v>36640</v>
      </c>
      <c r="H248" s="4" t="s">
        <v>584</v>
      </c>
      <c r="I248" s="7">
        <v>46046</v>
      </c>
    </row>
    <row r="249" spans="1:9" ht="36" customHeight="1" x14ac:dyDescent="0.2">
      <c r="A249" s="34">
        <v>14</v>
      </c>
      <c r="B249" s="34" t="s">
        <v>583</v>
      </c>
      <c r="C249" s="34" t="s">
        <v>747</v>
      </c>
      <c r="D249" s="34" t="s">
        <v>14</v>
      </c>
      <c r="E249" s="3">
        <v>62720</v>
      </c>
      <c r="F249" s="3">
        <v>30000</v>
      </c>
      <c r="G249" s="3">
        <f>E249-F249</f>
        <v>32720</v>
      </c>
      <c r="H249" s="4" t="s">
        <v>585</v>
      </c>
      <c r="I249" s="7">
        <v>46046</v>
      </c>
    </row>
    <row r="250" spans="1:9" ht="36" customHeight="1" x14ac:dyDescent="0.2">
      <c r="A250" s="54"/>
      <c r="B250" s="45"/>
      <c r="C250" s="45"/>
      <c r="D250" s="45"/>
      <c r="E250" s="46"/>
      <c r="F250" s="46"/>
      <c r="G250" s="46"/>
      <c r="H250" s="47"/>
      <c r="I250" s="48"/>
    </row>
    <row r="251" spans="1:9" ht="36" customHeight="1" x14ac:dyDescent="0.2">
      <c r="A251" s="54"/>
      <c r="B251" s="45"/>
      <c r="C251" s="45"/>
      <c r="D251" s="45"/>
      <c r="E251" s="46"/>
      <c r="F251" s="46"/>
      <c r="G251" s="46"/>
      <c r="H251" s="47"/>
      <c r="I251" s="48"/>
    </row>
    <row r="252" spans="1:9" ht="36" customHeight="1" x14ac:dyDescent="0.2">
      <c r="A252" s="54"/>
      <c r="B252" s="45"/>
      <c r="C252" s="45"/>
      <c r="D252" s="45"/>
      <c r="E252" s="46"/>
      <c r="F252" s="46"/>
      <c r="G252" s="46"/>
      <c r="H252" s="47"/>
      <c r="I252" s="48"/>
    </row>
    <row r="253" spans="1:9" ht="36" customHeight="1" x14ac:dyDescent="0.2">
      <c r="A253" s="54"/>
      <c r="B253" s="45"/>
      <c r="C253" s="45"/>
      <c r="D253" s="45"/>
      <c r="E253" s="46"/>
      <c r="F253" s="46"/>
      <c r="G253" s="46"/>
      <c r="H253" s="47"/>
      <c r="I253" s="48"/>
    </row>
    <row r="254" spans="1:9" ht="36" customHeight="1" x14ac:dyDescent="0.2">
      <c r="A254" s="54"/>
      <c r="B254" s="45"/>
      <c r="C254" s="45"/>
      <c r="D254" s="45"/>
      <c r="E254" s="46"/>
      <c r="F254" s="46"/>
      <c r="G254" s="46"/>
      <c r="H254" s="47"/>
      <c r="I254" s="48"/>
    </row>
    <row r="255" spans="1:9" ht="36" customHeight="1" x14ac:dyDescent="0.2">
      <c r="A255" s="54"/>
      <c r="B255" s="45"/>
      <c r="C255" s="45"/>
      <c r="D255" s="45"/>
      <c r="E255" s="46"/>
      <c r="F255" s="46"/>
      <c r="G255" s="46"/>
      <c r="H255" s="47"/>
      <c r="I255" s="48"/>
    </row>
    <row r="256" spans="1:9" ht="36" customHeight="1" x14ac:dyDescent="0.2">
      <c r="A256" s="54"/>
      <c r="B256" s="45"/>
      <c r="C256" s="45"/>
      <c r="D256" s="45"/>
      <c r="E256" s="46"/>
      <c r="F256" s="46"/>
      <c r="G256" s="46"/>
      <c r="H256" s="47"/>
      <c r="I256" s="48"/>
    </row>
    <row r="257" spans="1:10" ht="36" customHeight="1" x14ac:dyDescent="0.2">
      <c r="A257" s="54"/>
      <c r="B257" s="45"/>
      <c r="C257" s="45"/>
      <c r="D257" s="45"/>
      <c r="E257" s="46"/>
      <c r="F257" s="46"/>
      <c r="G257" s="46"/>
      <c r="H257" s="47"/>
      <c r="I257" s="48"/>
    </row>
    <row r="258" spans="1:10" ht="36" customHeight="1" x14ac:dyDescent="0.2">
      <c r="A258" s="54"/>
      <c r="B258" s="45"/>
      <c r="C258" s="45"/>
      <c r="D258" s="45"/>
      <c r="E258" s="46"/>
      <c r="F258" s="46"/>
      <c r="G258" s="46"/>
      <c r="H258" s="47"/>
      <c r="I258" s="48"/>
    </row>
    <row r="259" spans="1:10" ht="36" customHeight="1" x14ac:dyDescent="0.2">
      <c r="A259" s="54"/>
      <c r="B259" s="45"/>
      <c r="C259" s="45"/>
      <c r="D259" s="45"/>
      <c r="E259" s="46"/>
      <c r="F259" s="46"/>
      <c r="G259" s="46"/>
      <c r="H259" s="47"/>
      <c r="I259" s="48"/>
    </row>
    <row r="260" spans="1:10" ht="36" customHeight="1" x14ac:dyDescent="0.2">
      <c r="A260" s="54"/>
      <c r="B260" s="45"/>
      <c r="C260" s="45"/>
      <c r="D260" s="45"/>
      <c r="E260" s="46"/>
      <c r="F260" s="46"/>
      <c r="G260" s="46"/>
      <c r="H260" s="47"/>
      <c r="I260" s="48"/>
    </row>
    <row r="261" spans="1:10" ht="36" customHeight="1" x14ac:dyDescent="0.2">
      <c r="A261" s="55" t="s">
        <v>63</v>
      </c>
      <c r="B261" s="56"/>
      <c r="C261" s="56"/>
      <c r="D261" s="56"/>
      <c r="E261" s="56"/>
      <c r="F261" s="56"/>
      <c r="G261" s="56"/>
      <c r="H261" s="56"/>
      <c r="I261" s="56"/>
      <c r="J261" s="52"/>
    </row>
    <row r="262" spans="1:10" ht="36" customHeight="1" x14ac:dyDescent="0.2">
      <c r="A262" s="36" t="s">
        <v>0</v>
      </c>
      <c r="B262" s="36" t="s">
        <v>1</v>
      </c>
      <c r="C262" s="36" t="s">
        <v>2</v>
      </c>
      <c r="D262" s="36" t="s">
        <v>96</v>
      </c>
      <c r="E262" s="36" t="s">
        <v>3</v>
      </c>
      <c r="F262" s="37" t="s">
        <v>97</v>
      </c>
      <c r="G262" s="37" t="s">
        <v>4</v>
      </c>
      <c r="H262" s="36" t="s">
        <v>11</v>
      </c>
      <c r="I262" s="38" t="s">
        <v>5</v>
      </c>
      <c r="J262" s="39" t="s">
        <v>31</v>
      </c>
    </row>
    <row r="263" spans="1:10" ht="36" customHeight="1" x14ac:dyDescent="0.2">
      <c r="A263" s="40">
        <v>1</v>
      </c>
      <c r="B263" s="41" t="s">
        <v>98</v>
      </c>
      <c r="C263" s="41" t="s">
        <v>99</v>
      </c>
      <c r="D263" s="41" t="s">
        <v>100</v>
      </c>
      <c r="E263" s="41" t="s">
        <v>101</v>
      </c>
      <c r="F263" s="42">
        <v>18000</v>
      </c>
      <c r="G263" s="42">
        <v>18000</v>
      </c>
      <c r="H263" s="41" t="s">
        <v>65</v>
      </c>
      <c r="I263" s="43" t="s">
        <v>102</v>
      </c>
      <c r="J263" s="44">
        <v>46025</v>
      </c>
    </row>
    <row r="264" spans="1:10" ht="36" customHeight="1" x14ac:dyDescent="0.2"/>
    <row r="265" spans="1:10" ht="36" customHeight="1" x14ac:dyDescent="0.2"/>
    <row r="266" spans="1:10" ht="36" customHeight="1" x14ac:dyDescent="0.2"/>
    <row r="267" spans="1:10" ht="36" customHeight="1" x14ac:dyDescent="0.2"/>
    <row r="268" spans="1:10" ht="36" customHeight="1" x14ac:dyDescent="0.2"/>
    <row r="269" spans="1:10" ht="36" customHeight="1" x14ac:dyDescent="0.2"/>
    <row r="270" spans="1:10" ht="36" customHeight="1" x14ac:dyDescent="0.2"/>
    <row r="271" spans="1:10" ht="36" customHeight="1" x14ac:dyDescent="0.2"/>
    <row r="272" spans="1:10" ht="36" customHeight="1" x14ac:dyDescent="0.2"/>
    <row r="273" ht="36" customHeight="1" x14ac:dyDescent="0.2"/>
    <row r="274" ht="36" customHeight="1" x14ac:dyDescent="0.2"/>
    <row r="275" ht="36" customHeight="1" x14ac:dyDescent="0.2"/>
    <row r="276" ht="36" customHeight="1" x14ac:dyDescent="0.2"/>
    <row r="277" ht="36" customHeight="1" x14ac:dyDescent="0.2"/>
    <row r="278" ht="36" customHeight="1" x14ac:dyDescent="0.2"/>
    <row r="279" ht="36" customHeight="1" x14ac:dyDescent="0.2"/>
    <row r="280" ht="36" customHeight="1" x14ac:dyDescent="0.2"/>
    <row r="281" ht="36" customHeight="1" x14ac:dyDescent="0.2"/>
    <row r="282" ht="36" customHeight="1" x14ac:dyDescent="0.2"/>
    <row r="283" ht="36" customHeight="1" x14ac:dyDescent="0.2"/>
    <row r="284" ht="36" customHeight="1" x14ac:dyDescent="0.2"/>
    <row r="285" ht="36" customHeight="1" x14ac:dyDescent="0.2"/>
    <row r="286" ht="36" customHeight="1" x14ac:dyDescent="0.2"/>
    <row r="287" ht="36" customHeight="1" x14ac:dyDescent="0.2"/>
    <row r="288" ht="36" customHeight="1" x14ac:dyDescent="0.2"/>
    <row r="289" ht="36" customHeight="1" x14ac:dyDescent="0.2"/>
    <row r="290" ht="36" customHeight="1" x14ac:dyDescent="0.2"/>
    <row r="291" ht="36" customHeight="1" x14ac:dyDescent="0.2"/>
    <row r="292" ht="36" customHeight="1" x14ac:dyDescent="0.2"/>
    <row r="293" ht="36" customHeight="1" x14ac:dyDescent="0.2"/>
    <row r="294" ht="36" customHeight="1" x14ac:dyDescent="0.2"/>
    <row r="295" ht="36" customHeight="1" x14ac:dyDescent="0.2"/>
    <row r="296" ht="36" customHeight="1" x14ac:dyDescent="0.2"/>
    <row r="297" ht="36" customHeight="1" x14ac:dyDescent="0.2"/>
    <row r="298" ht="36" customHeight="1" x14ac:dyDescent="0.2"/>
    <row r="299" ht="36" customHeight="1" x14ac:dyDescent="0.2"/>
    <row r="300" ht="36" customHeight="1" x14ac:dyDescent="0.2"/>
    <row r="301" ht="36" customHeight="1" x14ac:dyDescent="0.2"/>
    <row r="302" ht="36" customHeight="1" x14ac:dyDescent="0.2"/>
    <row r="303" ht="36" customHeight="1" x14ac:dyDescent="0.2"/>
    <row r="304" ht="36" customHeight="1" x14ac:dyDescent="0.2"/>
    <row r="305" ht="36" customHeight="1" x14ac:dyDescent="0.2"/>
    <row r="306" ht="36" customHeight="1" x14ac:dyDescent="0.2"/>
    <row r="307" ht="36" customHeight="1" x14ac:dyDescent="0.2"/>
    <row r="308" ht="36" customHeight="1" x14ac:dyDescent="0.2"/>
    <row r="309" ht="36" customHeight="1" x14ac:dyDescent="0.2"/>
    <row r="310" ht="36" customHeight="1" x14ac:dyDescent="0.2"/>
    <row r="311" ht="36" customHeight="1" x14ac:dyDescent="0.2"/>
    <row r="312" ht="36" customHeight="1" x14ac:dyDescent="0.2"/>
    <row r="313" ht="36" customHeight="1" x14ac:dyDescent="0.2"/>
    <row r="314" ht="36" customHeight="1" x14ac:dyDescent="0.2"/>
    <row r="315" ht="36" customHeight="1" x14ac:dyDescent="0.2"/>
    <row r="316" ht="36" customHeight="1" x14ac:dyDescent="0.2"/>
    <row r="317" ht="36" customHeight="1" x14ac:dyDescent="0.2"/>
    <row r="318" ht="36" customHeight="1" x14ac:dyDescent="0.2"/>
    <row r="319" ht="36" customHeight="1" x14ac:dyDescent="0.2"/>
    <row r="320" ht="36" customHeight="1" x14ac:dyDescent="0.2"/>
    <row r="321" ht="36" customHeight="1" x14ac:dyDescent="0.2"/>
    <row r="322" ht="36" customHeight="1" x14ac:dyDescent="0.2"/>
    <row r="323" ht="36" customHeight="1" x14ac:dyDescent="0.2"/>
    <row r="324" ht="36" customHeight="1" x14ac:dyDescent="0.2"/>
    <row r="325" ht="36" customHeight="1" x14ac:dyDescent="0.2"/>
    <row r="326" ht="36" customHeight="1" x14ac:dyDescent="0.2"/>
    <row r="327" ht="36" customHeight="1" x14ac:dyDescent="0.2"/>
    <row r="328" ht="36" customHeight="1" x14ac:dyDescent="0.2"/>
    <row r="329" ht="36" customHeight="1" x14ac:dyDescent="0.2"/>
    <row r="330" ht="36" customHeight="1" x14ac:dyDescent="0.2"/>
    <row r="331" ht="36" customHeight="1" x14ac:dyDescent="0.2"/>
    <row r="332" ht="36" customHeight="1" x14ac:dyDescent="0.2"/>
    <row r="333" ht="36" customHeight="1" x14ac:dyDescent="0.2"/>
    <row r="334" ht="36" customHeight="1" x14ac:dyDescent="0.2"/>
    <row r="335" ht="36" customHeight="1" x14ac:dyDescent="0.2"/>
    <row r="336" ht="36" customHeight="1" x14ac:dyDescent="0.2"/>
    <row r="337" ht="36" customHeight="1" x14ac:dyDescent="0.2"/>
    <row r="338" ht="36" customHeight="1" x14ac:dyDescent="0.2"/>
    <row r="339" ht="36" customHeight="1" x14ac:dyDescent="0.2"/>
    <row r="340" ht="36" customHeight="1" x14ac:dyDescent="0.2"/>
    <row r="341" ht="36" customHeight="1" x14ac:dyDescent="0.2"/>
    <row r="342" ht="36" customHeight="1" x14ac:dyDescent="0.2"/>
    <row r="343" ht="36" customHeight="1" x14ac:dyDescent="0.2"/>
    <row r="344" ht="36" customHeight="1" x14ac:dyDescent="0.2"/>
    <row r="345" ht="36" customHeight="1" x14ac:dyDescent="0.2"/>
    <row r="346" ht="36" customHeight="1" x14ac:dyDescent="0.2"/>
    <row r="347" ht="36" customHeight="1" x14ac:dyDescent="0.2"/>
    <row r="348" ht="36" customHeight="1" x14ac:dyDescent="0.2"/>
    <row r="349" ht="36" customHeight="1" x14ac:dyDescent="0.2"/>
    <row r="350" ht="36" customHeight="1" x14ac:dyDescent="0.2"/>
    <row r="351" ht="36" customHeight="1" x14ac:dyDescent="0.2"/>
    <row r="352" ht="36" customHeight="1" x14ac:dyDescent="0.2"/>
    <row r="353" ht="36" customHeight="1" x14ac:dyDescent="0.2"/>
    <row r="354" ht="36" customHeight="1" x14ac:dyDescent="0.2"/>
    <row r="355" ht="36" customHeight="1" x14ac:dyDescent="0.2"/>
    <row r="356" ht="36" customHeight="1" x14ac:dyDescent="0.2"/>
    <row r="357" ht="36" customHeight="1" x14ac:dyDescent="0.2"/>
    <row r="358" ht="36" customHeight="1" x14ac:dyDescent="0.2"/>
    <row r="359" ht="36" customHeight="1" x14ac:dyDescent="0.2"/>
    <row r="360" ht="36" customHeight="1" x14ac:dyDescent="0.2"/>
    <row r="361" ht="36" customHeight="1" x14ac:dyDescent="0.2"/>
    <row r="362" ht="36" customHeight="1" x14ac:dyDescent="0.2"/>
    <row r="363" ht="36" customHeight="1" x14ac:dyDescent="0.2"/>
    <row r="364" ht="36" customHeight="1" x14ac:dyDescent="0.2"/>
    <row r="365" ht="36" customHeight="1" x14ac:dyDescent="0.2"/>
    <row r="366" ht="36" customHeight="1" x14ac:dyDescent="0.2"/>
    <row r="367" ht="36" customHeight="1" x14ac:dyDescent="0.2"/>
    <row r="368" ht="36" customHeight="1" x14ac:dyDescent="0.2"/>
    <row r="369" ht="36" customHeight="1" x14ac:dyDescent="0.2"/>
    <row r="370" ht="36" customHeight="1" x14ac:dyDescent="0.2"/>
    <row r="371" ht="36" customHeight="1" x14ac:dyDescent="0.2"/>
    <row r="372" ht="36" customHeight="1" x14ac:dyDescent="0.2"/>
    <row r="373" ht="36" customHeight="1" x14ac:dyDescent="0.2"/>
    <row r="374" ht="36" customHeight="1" x14ac:dyDescent="0.2"/>
    <row r="375" ht="36" customHeight="1" x14ac:dyDescent="0.2"/>
    <row r="376" ht="36" customHeight="1" x14ac:dyDescent="0.2"/>
    <row r="377" ht="36" customHeight="1" x14ac:dyDescent="0.2"/>
    <row r="378" ht="36" customHeight="1" x14ac:dyDescent="0.2"/>
    <row r="379" ht="36" customHeight="1" x14ac:dyDescent="0.2"/>
    <row r="380" ht="36" customHeight="1" x14ac:dyDescent="0.2"/>
    <row r="381" ht="36" customHeight="1" x14ac:dyDescent="0.2"/>
    <row r="382" ht="36" customHeight="1" x14ac:dyDescent="0.2"/>
    <row r="383" ht="36" customHeight="1" x14ac:dyDescent="0.2"/>
    <row r="384" ht="36" customHeight="1" x14ac:dyDescent="0.2"/>
    <row r="385" ht="36" customHeight="1" x14ac:dyDescent="0.2"/>
    <row r="386" ht="36" customHeight="1" x14ac:dyDescent="0.2"/>
    <row r="387" ht="36" customHeight="1" x14ac:dyDescent="0.2"/>
    <row r="388" ht="36" customHeight="1" x14ac:dyDescent="0.2"/>
    <row r="389" ht="36" customHeight="1" x14ac:dyDescent="0.2"/>
    <row r="390" ht="36" customHeight="1" x14ac:dyDescent="0.2"/>
    <row r="391" ht="36" customHeight="1" x14ac:dyDescent="0.2"/>
    <row r="392" ht="36" customHeight="1" x14ac:dyDescent="0.2"/>
    <row r="393" ht="36" customHeight="1" x14ac:dyDescent="0.2"/>
    <row r="394" ht="36" customHeight="1" x14ac:dyDescent="0.2"/>
    <row r="395" ht="36" customHeight="1" x14ac:dyDescent="0.2"/>
    <row r="396" ht="36" customHeight="1" x14ac:dyDescent="0.2"/>
    <row r="397" ht="36" customHeight="1" x14ac:dyDescent="0.2"/>
    <row r="398" ht="36" customHeight="1" x14ac:dyDescent="0.2"/>
    <row r="399" ht="36" customHeight="1" x14ac:dyDescent="0.2"/>
    <row r="400" ht="36" customHeight="1" x14ac:dyDescent="0.2"/>
    <row r="401" ht="36" customHeight="1" x14ac:dyDescent="0.2"/>
    <row r="402" ht="36" customHeight="1" x14ac:dyDescent="0.2"/>
    <row r="403" ht="36" customHeight="1" x14ac:dyDescent="0.2"/>
    <row r="404" ht="36" customHeight="1" x14ac:dyDescent="0.2"/>
    <row r="405" ht="36" customHeight="1" x14ac:dyDescent="0.2"/>
    <row r="406" ht="36" customHeight="1" x14ac:dyDescent="0.2"/>
    <row r="407" ht="36" customHeight="1" x14ac:dyDescent="0.2"/>
    <row r="408" ht="36" customHeight="1" x14ac:dyDescent="0.2"/>
    <row r="409" ht="36" customHeight="1" x14ac:dyDescent="0.2"/>
    <row r="410" ht="36" customHeight="1" x14ac:dyDescent="0.2"/>
    <row r="411" ht="36" customHeight="1" x14ac:dyDescent="0.2"/>
    <row r="412" ht="36" customHeight="1" x14ac:dyDescent="0.2"/>
    <row r="413" ht="36" customHeight="1" x14ac:dyDescent="0.2"/>
    <row r="414" ht="36" customHeight="1" x14ac:dyDescent="0.2"/>
    <row r="415" ht="36" customHeight="1" x14ac:dyDescent="0.2"/>
    <row r="416" ht="36" customHeight="1" x14ac:dyDescent="0.2"/>
    <row r="417" ht="36" customHeight="1" x14ac:dyDescent="0.2"/>
    <row r="418" ht="36" customHeight="1" x14ac:dyDescent="0.2"/>
    <row r="419" ht="36" customHeight="1" x14ac:dyDescent="0.2"/>
    <row r="420" ht="36" customHeight="1" x14ac:dyDescent="0.2"/>
    <row r="421" ht="36" customHeight="1" x14ac:dyDescent="0.2"/>
    <row r="422" ht="36" customHeight="1" x14ac:dyDescent="0.2"/>
    <row r="423" ht="36" customHeight="1" x14ac:dyDescent="0.2"/>
    <row r="424" ht="36" customHeight="1" x14ac:dyDescent="0.2"/>
    <row r="425" ht="36" customHeight="1" x14ac:dyDescent="0.2"/>
    <row r="426" ht="36" customHeight="1" x14ac:dyDescent="0.2"/>
    <row r="427" ht="36" customHeight="1" x14ac:dyDescent="0.2"/>
    <row r="428" ht="36" customHeight="1" x14ac:dyDescent="0.2"/>
    <row r="429" ht="36" customHeight="1" x14ac:dyDescent="0.2"/>
    <row r="430" ht="36" customHeight="1" x14ac:dyDescent="0.2"/>
    <row r="431" ht="36" customHeight="1" x14ac:dyDescent="0.2"/>
    <row r="432" ht="36" customHeight="1" x14ac:dyDescent="0.2"/>
    <row r="433" ht="36" customHeight="1" x14ac:dyDescent="0.2"/>
    <row r="434" ht="36" customHeight="1" x14ac:dyDescent="0.2"/>
    <row r="435" ht="36" customHeight="1" x14ac:dyDescent="0.2"/>
    <row r="436" ht="36" customHeight="1" x14ac:dyDescent="0.2"/>
    <row r="437" ht="36" customHeight="1" x14ac:dyDescent="0.2"/>
    <row r="438" ht="36" customHeight="1" x14ac:dyDescent="0.2"/>
    <row r="439" ht="36" customHeight="1" x14ac:dyDescent="0.2"/>
    <row r="440" ht="36" customHeight="1" x14ac:dyDescent="0.2"/>
    <row r="441" ht="36" customHeight="1" x14ac:dyDescent="0.2"/>
    <row r="442" ht="36" customHeight="1" x14ac:dyDescent="0.2"/>
    <row r="443" ht="36" customHeight="1" x14ac:dyDescent="0.2"/>
    <row r="444" ht="36" customHeight="1" x14ac:dyDescent="0.2"/>
    <row r="445" ht="36" customHeight="1" x14ac:dyDescent="0.2"/>
    <row r="446" ht="36" customHeight="1" x14ac:dyDescent="0.2"/>
    <row r="447" ht="36" customHeight="1" x14ac:dyDescent="0.2"/>
    <row r="448" ht="36" customHeight="1" x14ac:dyDescent="0.2"/>
    <row r="449" ht="36" customHeight="1" x14ac:dyDescent="0.2"/>
    <row r="450" ht="36" customHeight="1" x14ac:dyDescent="0.2"/>
    <row r="451" ht="36" customHeight="1" x14ac:dyDescent="0.2"/>
    <row r="452" ht="36" customHeight="1" x14ac:dyDescent="0.2"/>
    <row r="453" ht="36" customHeight="1" x14ac:dyDescent="0.2"/>
    <row r="454" ht="36" customHeight="1" x14ac:dyDescent="0.2"/>
    <row r="455" ht="36" customHeight="1" x14ac:dyDescent="0.2"/>
    <row r="456" ht="36" customHeight="1" x14ac:dyDescent="0.2"/>
    <row r="457" ht="36" customHeight="1" x14ac:dyDescent="0.2"/>
    <row r="458" ht="36" customHeight="1" x14ac:dyDescent="0.2"/>
    <row r="459" ht="36" customHeight="1" x14ac:dyDescent="0.2"/>
    <row r="460" ht="36" customHeight="1" x14ac:dyDescent="0.2"/>
    <row r="461" ht="36" customHeight="1" x14ac:dyDescent="0.2"/>
    <row r="462" ht="36" customHeight="1" x14ac:dyDescent="0.2"/>
    <row r="463" ht="36" customHeight="1" x14ac:dyDescent="0.2"/>
    <row r="464" ht="36" customHeight="1" x14ac:dyDescent="0.2"/>
    <row r="465" ht="36" customHeight="1" x14ac:dyDescent="0.2"/>
    <row r="466" ht="36" customHeight="1" x14ac:dyDescent="0.2"/>
    <row r="467" ht="36" customHeight="1" x14ac:dyDescent="0.2"/>
    <row r="468" ht="36" customHeight="1" x14ac:dyDescent="0.2"/>
    <row r="469" ht="36" customHeight="1" x14ac:dyDescent="0.2"/>
    <row r="470" ht="36" customHeight="1" x14ac:dyDescent="0.2"/>
    <row r="471" ht="36" customHeight="1" x14ac:dyDescent="0.2"/>
    <row r="472" ht="36" customHeight="1" x14ac:dyDescent="0.2"/>
    <row r="473" ht="36" customHeight="1" x14ac:dyDescent="0.2"/>
    <row r="474" ht="36" customHeight="1" x14ac:dyDescent="0.2"/>
    <row r="475" ht="36" customHeight="1" x14ac:dyDescent="0.2"/>
    <row r="476" ht="36" customHeight="1" x14ac:dyDescent="0.2"/>
    <row r="477" ht="36" customHeight="1" x14ac:dyDescent="0.2"/>
    <row r="478" ht="36" customHeight="1" x14ac:dyDescent="0.2"/>
    <row r="479" ht="36" customHeight="1" x14ac:dyDescent="0.2"/>
    <row r="480" ht="36" customHeight="1" x14ac:dyDescent="0.2"/>
    <row r="481" ht="36" customHeight="1" x14ac:dyDescent="0.2"/>
    <row r="482" ht="36" customHeight="1" x14ac:dyDescent="0.2"/>
    <row r="483" ht="36" customHeight="1" x14ac:dyDescent="0.2"/>
    <row r="484" ht="36" customHeight="1" x14ac:dyDescent="0.2"/>
    <row r="485" ht="36" customHeight="1" x14ac:dyDescent="0.2"/>
    <row r="486" ht="36" customHeight="1" x14ac:dyDescent="0.2"/>
    <row r="487" ht="36" customHeight="1" x14ac:dyDescent="0.2"/>
    <row r="488" ht="36" customHeight="1" x14ac:dyDescent="0.2"/>
    <row r="489" ht="36" customHeight="1" x14ac:dyDescent="0.2"/>
    <row r="490" ht="36" customHeight="1" x14ac:dyDescent="0.2"/>
    <row r="491" ht="36" customHeight="1" x14ac:dyDescent="0.2"/>
    <row r="492" ht="36" customHeight="1" x14ac:dyDescent="0.2"/>
    <row r="493" ht="36" customHeight="1" x14ac:dyDescent="0.2"/>
    <row r="494" ht="36" customHeight="1" x14ac:dyDescent="0.2"/>
    <row r="495" ht="36" customHeight="1" x14ac:dyDescent="0.2"/>
    <row r="496" ht="36" customHeight="1" x14ac:dyDescent="0.2"/>
    <row r="497" ht="36" customHeight="1" x14ac:dyDescent="0.2"/>
    <row r="498" ht="36" customHeight="1" x14ac:dyDescent="0.2"/>
    <row r="499" ht="36" customHeight="1" x14ac:dyDescent="0.2"/>
    <row r="500" ht="36" customHeight="1" x14ac:dyDescent="0.2"/>
    <row r="501" ht="36" customHeight="1" x14ac:dyDescent="0.2"/>
    <row r="502" ht="36" customHeight="1" x14ac:dyDescent="0.2"/>
    <row r="503" ht="36" customHeight="1" x14ac:dyDescent="0.2"/>
    <row r="504" ht="36" customHeight="1" x14ac:dyDescent="0.2"/>
    <row r="505" ht="36" customHeight="1" x14ac:dyDescent="0.2"/>
    <row r="506" ht="36" customHeight="1" x14ac:dyDescent="0.2"/>
    <row r="507" ht="36" customHeight="1" x14ac:dyDescent="0.2"/>
    <row r="508" ht="36" customHeight="1" x14ac:dyDescent="0.2"/>
    <row r="509" ht="36" customHeight="1" x14ac:dyDescent="0.2"/>
    <row r="510" ht="36" customHeight="1" x14ac:dyDescent="0.2"/>
    <row r="511" ht="36" customHeight="1" x14ac:dyDescent="0.2"/>
    <row r="512" ht="36" customHeight="1" x14ac:dyDescent="0.2"/>
    <row r="513" ht="36" customHeight="1" x14ac:dyDescent="0.2"/>
    <row r="514" ht="36" customHeight="1" x14ac:dyDescent="0.2"/>
    <row r="515" ht="36" customHeight="1" x14ac:dyDescent="0.2"/>
    <row r="516" ht="36" customHeight="1" x14ac:dyDescent="0.2"/>
    <row r="517" ht="36" customHeight="1" x14ac:dyDescent="0.2"/>
    <row r="518" ht="36" customHeight="1" x14ac:dyDescent="0.2"/>
    <row r="519" ht="36" customHeight="1" x14ac:dyDescent="0.2"/>
  </sheetData>
  <mergeCells count="2">
    <mergeCell ref="A1:I1"/>
    <mergeCell ref="A234:I234"/>
  </mergeCells>
  <conditionalFormatting sqref="D264:D1048576 D1:D125 D144:D163 D246 D191 D200:D233">
    <cfRule type="containsText" dxfId="126" priority="127" operator="containsText" text="Cleared">
      <formula>NOT(ISERROR(SEARCH("Cleared",D1)))</formula>
    </cfRule>
    <cfRule type="containsText" dxfId="125" priority="128" operator="containsText" text="Partially Paid">
      <formula>NOT(ISERROR(SEARCH("Partially Paid",D1)))</formula>
    </cfRule>
  </conditionalFormatting>
  <conditionalFormatting sqref="D235:D236">
    <cfRule type="containsText" dxfId="124" priority="124" operator="containsText" text="Cleared">
      <formula>NOT(ISERROR(SEARCH("Cleared",D235)))</formula>
    </cfRule>
    <cfRule type="containsText" dxfId="123" priority="125" operator="containsText" text="Partially Paid">
      <formula>NOT(ISERROR(SEARCH("Partially Paid",D235)))</formula>
    </cfRule>
  </conditionalFormatting>
  <conditionalFormatting sqref="E261:E263">
    <cfRule type="containsText" dxfId="122" priority="121" operator="containsText" text="Cleared">
      <formula>NOT(ISERROR(SEARCH("Cleared",E261)))</formula>
    </cfRule>
    <cfRule type="containsText" dxfId="121" priority="122" operator="containsText" text="Partially Paid">
      <formula>NOT(ISERROR(SEARCH("Partially Paid",E261)))</formula>
    </cfRule>
  </conditionalFormatting>
  <conditionalFormatting sqref="D237">
    <cfRule type="containsText" dxfId="120" priority="119" operator="containsText" text="Cleared">
      <formula>NOT(ISERROR(SEARCH("Cleared",D237)))</formula>
    </cfRule>
    <cfRule type="containsText" dxfId="119" priority="120" operator="containsText" text="Partially Paid">
      <formula>NOT(ISERROR(SEARCH("Partially Paid",D237)))</formula>
    </cfRule>
  </conditionalFormatting>
  <conditionalFormatting sqref="D238">
    <cfRule type="containsText" dxfId="118" priority="117" operator="containsText" text="Cleared">
      <formula>NOT(ISERROR(SEARCH("Cleared",D238)))</formula>
    </cfRule>
    <cfRule type="containsText" dxfId="117" priority="118" operator="containsText" text="Partially Paid">
      <formula>NOT(ISERROR(SEARCH("Partially Paid",D238)))</formula>
    </cfRule>
  </conditionalFormatting>
  <conditionalFormatting sqref="D239">
    <cfRule type="containsText" dxfId="116" priority="115" operator="containsText" text="Cleared">
      <formula>NOT(ISERROR(SEARCH("Cleared",D239)))</formula>
    </cfRule>
    <cfRule type="containsText" dxfId="115" priority="116" operator="containsText" text="Partially Paid">
      <formula>NOT(ISERROR(SEARCH("Partially Paid",D239)))</formula>
    </cfRule>
  </conditionalFormatting>
  <conditionalFormatting sqref="D240:D245 D247 D250:D260">
    <cfRule type="containsText" dxfId="114" priority="113" operator="containsText" text="Cleared">
      <formula>NOT(ISERROR(SEARCH("Cleared",D240)))</formula>
    </cfRule>
    <cfRule type="containsText" dxfId="113" priority="114" operator="containsText" text="Partially Paid">
      <formula>NOT(ISERROR(SEARCH("Partially Paid",D240)))</formula>
    </cfRule>
  </conditionalFormatting>
  <conditionalFormatting sqref="D126">
    <cfRule type="containsText" dxfId="112" priority="111" operator="containsText" text="Cleared">
      <formula>NOT(ISERROR(SEARCH("Cleared",D126)))</formula>
    </cfRule>
    <cfRule type="containsText" dxfId="111" priority="112" operator="containsText" text="Partially Paid">
      <formula>NOT(ISERROR(SEARCH("Partially Paid",D126)))</formula>
    </cfRule>
  </conditionalFormatting>
  <conditionalFormatting sqref="D127">
    <cfRule type="containsText" dxfId="110" priority="109" operator="containsText" text="Cleared">
      <formula>NOT(ISERROR(SEARCH("Cleared",D127)))</formula>
    </cfRule>
    <cfRule type="containsText" dxfId="109" priority="110" operator="containsText" text="Partially Paid">
      <formula>NOT(ISERROR(SEARCH("Partially Paid",D127)))</formula>
    </cfRule>
  </conditionalFormatting>
  <conditionalFormatting sqref="D128">
    <cfRule type="containsText" dxfId="108" priority="107" operator="containsText" text="Cleared">
      <formula>NOT(ISERROR(SEARCH("Cleared",D128)))</formula>
    </cfRule>
    <cfRule type="containsText" dxfId="107" priority="108" operator="containsText" text="Partially Paid">
      <formula>NOT(ISERROR(SEARCH("Partially Paid",D128)))</formula>
    </cfRule>
  </conditionalFormatting>
  <conditionalFormatting sqref="D129">
    <cfRule type="containsText" dxfId="106" priority="105" operator="containsText" text="Cleared">
      <formula>NOT(ISERROR(SEARCH("Cleared",D129)))</formula>
    </cfRule>
    <cfRule type="containsText" dxfId="105" priority="106" operator="containsText" text="Partially Paid">
      <formula>NOT(ISERROR(SEARCH("Partially Paid",D129)))</formula>
    </cfRule>
  </conditionalFormatting>
  <conditionalFormatting sqref="D130">
    <cfRule type="containsText" dxfId="104" priority="103" operator="containsText" text="Cleared">
      <formula>NOT(ISERROR(SEARCH("Cleared",D130)))</formula>
    </cfRule>
    <cfRule type="containsText" dxfId="103" priority="104" operator="containsText" text="Partially Paid">
      <formula>NOT(ISERROR(SEARCH("Partially Paid",D130)))</formula>
    </cfRule>
  </conditionalFormatting>
  <conditionalFormatting sqref="D131">
    <cfRule type="containsText" dxfId="102" priority="101" operator="containsText" text="Cleared">
      <formula>NOT(ISERROR(SEARCH("Cleared",D131)))</formula>
    </cfRule>
    <cfRule type="containsText" dxfId="101" priority="102" operator="containsText" text="Partially Paid">
      <formula>NOT(ISERROR(SEARCH("Partially Paid",D131)))</formula>
    </cfRule>
  </conditionalFormatting>
  <conditionalFormatting sqref="D132">
    <cfRule type="containsText" dxfId="100" priority="99" operator="containsText" text="Cleared">
      <formula>NOT(ISERROR(SEARCH("Cleared",D132)))</formula>
    </cfRule>
    <cfRule type="containsText" dxfId="99" priority="100" operator="containsText" text="Partially Paid">
      <formula>NOT(ISERROR(SEARCH("Partially Paid",D132)))</formula>
    </cfRule>
  </conditionalFormatting>
  <conditionalFormatting sqref="D133">
    <cfRule type="containsText" dxfId="98" priority="97" operator="containsText" text="Cleared">
      <formula>NOT(ISERROR(SEARCH("Cleared",D133)))</formula>
    </cfRule>
    <cfRule type="containsText" dxfId="97" priority="98" operator="containsText" text="Partially Paid">
      <formula>NOT(ISERROR(SEARCH("Partially Paid",D133)))</formula>
    </cfRule>
  </conditionalFormatting>
  <conditionalFormatting sqref="D134">
    <cfRule type="containsText" dxfId="96" priority="95" operator="containsText" text="Cleared">
      <formula>NOT(ISERROR(SEARCH("Cleared",D134)))</formula>
    </cfRule>
    <cfRule type="containsText" dxfId="95" priority="96" operator="containsText" text="Partially Paid">
      <formula>NOT(ISERROR(SEARCH("Partially Paid",D134)))</formula>
    </cfRule>
  </conditionalFormatting>
  <conditionalFormatting sqref="D135">
    <cfRule type="containsText" dxfId="94" priority="93" operator="containsText" text="Cleared">
      <formula>NOT(ISERROR(SEARCH("Cleared",D135)))</formula>
    </cfRule>
    <cfRule type="containsText" dxfId="93" priority="94" operator="containsText" text="Partially Paid">
      <formula>NOT(ISERROR(SEARCH("Partially Paid",D135)))</formula>
    </cfRule>
  </conditionalFormatting>
  <conditionalFormatting sqref="D136">
    <cfRule type="containsText" dxfId="92" priority="91" operator="containsText" text="Cleared">
      <formula>NOT(ISERROR(SEARCH("Cleared",D136)))</formula>
    </cfRule>
    <cfRule type="containsText" dxfId="91" priority="92" operator="containsText" text="Partially Paid">
      <formula>NOT(ISERROR(SEARCH("Partially Paid",D136)))</formula>
    </cfRule>
  </conditionalFormatting>
  <conditionalFormatting sqref="D137">
    <cfRule type="containsText" dxfId="90" priority="89" operator="containsText" text="Cleared">
      <formula>NOT(ISERROR(SEARCH("Cleared",D137)))</formula>
    </cfRule>
    <cfRule type="containsText" dxfId="89" priority="90" operator="containsText" text="Partially Paid">
      <formula>NOT(ISERROR(SEARCH("Partially Paid",D137)))</formula>
    </cfRule>
  </conditionalFormatting>
  <conditionalFormatting sqref="D138">
    <cfRule type="containsText" dxfId="88" priority="87" operator="containsText" text="Cleared">
      <formula>NOT(ISERROR(SEARCH("Cleared",D138)))</formula>
    </cfRule>
    <cfRule type="containsText" dxfId="87" priority="88" operator="containsText" text="Partially Paid">
      <formula>NOT(ISERROR(SEARCH("Partially Paid",D138)))</formula>
    </cfRule>
  </conditionalFormatting>
  <conditionalFormatting sqref="D139">
    <cfRule type="containsText" dxfId="86" priority="85" operator="containsText" text="Cleared">
      <formula>NOT(ISERROR(SEARCH("Cleared",D139)))</formula>
    </cfRule>
    <cfRule type="containsText" dxfId="85" priority="86" operator="containsText" text="Partially Paid">
      <formula>NOT(ISERROR(SEARCH("Partially Paid",D139)))</formula>
    </cfRule>
  </conditionalFormatting>
  <conditionalFormatting sqref="D140">
    <cfRule type="containsText" dxfId="84" priority="83" operator="containsText" text="Cleared">
      <formula>NOT(ISERROR(SEARCH("Cleared",D140)))</formula>
    </cfRule>
    <cfRule type="containsText" dxfId="83" priority="84" operator="containsText" text="Partially Paid">
      <formula>NOT(ISERROR(SEARCH("Partially Paid",D140)))</formula>
    </cfRule>
  </conditionalFormatting>
  <conditionalFormatting sqref="D141">
    <cfRule type="containsText" dxfId="82" priority="81" operator="containsText" text="Cleared">
      <formula>NOT(ISERROR(SEARCH("Cleared",D141)))</formula>
    </cfRule>
    <cfRule type="containsText" dxfId="81" priority="82" operator="containsText" text="Partially Paid">
      <formula>NOT(ISERROR(SEARCH("Partially Paid",D141)))</formula>
    </cfRule>
  </conditionalFormatting>
  <conditionalFormatting sqref="D142">
    <cfRule type="containsText" dxfId="80" priority="79" operator="containsText" text="Cleared">
      <formula>NOT(ISERROR(SEARCH("Cleared",D142)))</formula>
    </cfRule>
    <cfRule type="containsText" dxfId="79" priority="80" operator="containsText" text="Partially Paid">
      <formula>NOT(ISERROR(SEARCH("Partially Paid",D142)))</formula>
    </cfRule>
  </conditionalFormatting>
  <conditionalFormatting sqref="D143">
    <cfRule type="containsText" dxfId="78" priority="77" operator="containsText" text="Cleared">
      <formula>NOT(ISERROR(SEARCH("Cleared",D143)))</formula>
    </cfRule>
    <cfRule type="containsText" dxfId="77" priority="78" operator="containsText" text="Partially Paid">
      <formula>NOT(ISERROR(SEARCH("Partially Paid",D143)))</formula>
    </cfRule>
  </conditionalFormatting>
  <conditionalFormatting sqref="D164">
    <cfRule type="containsText" dxfId="76" priority="75" operator="containsText" text="Cleared">
      <formula>NOT(ISERROR(SEARCH("Cleared",D164)))</formula>
    </cfRule>
    <cfRule type="containsText" dxfId="75" priority="76" operator="containsText" text="Partially Paid">
      <formula>NOT(ISERROR(SEARCH("Partially Paid",D164)))</formula>
    </cfRule>
  </conditionalFormatting>
  <conditionalFormatting sqref="D165">
    <cfRule type="containsText" dxfId="74" priority="73" operator="containsText" text="Cleared">
      <formula>NOT(ISERROR(SEARCH("Cleared",D165)))</formula>
    </cfRule>
    <cfRule type="containsText" dxfId="73" priority="74" operator="containsText" text="Partially Paid">
      <formula>NOT(ISERROR(SEARCH("Partially Paid",D165)))</formula>
    </cfRule>
  </conditionalFormatting>
  <conditionalFormatting sqref="D166">
    <cfRule type="containsText" dxfId="72" priority="71" operator="containsText" text="Cleared">
      <formula>NOT(ISERROR(SEARCH("Cleared",D166)))</formula>
    </cfRule>
    <cfRule type="containsText" dxfId="71" priority="72" operator="containsText" text="Partially Paid">
      <formula>NOT(ISERROR(SEARCH("Partially Paid",D166)))</formula>
    </cfRule>
  </conditionalFormatting>
  <conditionalFormatting sqref="D167">
    <cfRule type="containsText" dxfId="70" priority="69" operator="containsText" text="Cleared">
      <formula>NOT(ISERROR(SEARCH("Cleared",D167)))</formula>
    </cfRule>
    <cfRule type="containsText" dxfId="69" priority="70" operator="containsText" text="Partially Paid">
      <formula>NOT(ISERROR(SEARCH("Partially Paid",D167)))</formula>
    </cfRule>
  </conditionalFormatting>
  <conditionalFormatting sqref="D168">
    <cfRule type="containsText" dxfId="68" priority="67" operator="containsText" text="Cleared">
      <formula>NOT(ISERROR(SEARCH("Cleared",D168)))</formula>
    </cfRule>
    <cfRule type="containsText" dxfId="67" priority="68" operator="containsText" text="Partially Paid">
      <formula>NOT(ISERROR(SEARCH("Partially Paid",D168)))</formula>
    </cfRule>
  </conditionalFormatting>
  <conditionalFormatting sqref="D169">
    <cfRule type="containsText" dxfId="66" priority="65" operator="containsText" text="Cleared">
      <formula>NOT(ISERROR(SEARCH("Cleared",D169)))</formula>
    </cfRule>
    <cfRule type="containsText" dxfId="65" priority="66" operator="containsText" text="Partially Paid">
      <formula>NOT(ISERROR(SEARCH("Partially Paid",D169)))</formula>
    </cfRule>
  </conditionalFormatting>
  <conditionalFormatting sqref="D170">
    <cfRule type="containsText" dxfId="64" priority="63" operator="containsText" text="Cleared">
      <formula>NOT(ISERROR(SEARCH("Cleared",D170)))</formula>
    </cfRule>
    <cfRule type="containsText" dxfId="63" priority="64" operator="containsText" text="Partially Paid">
      <formula>NOT(ISERROR(SEARCH("Partially Paid",D170)))</formula>
    </cfRule>
  </conditionalFormatting>
  <conditionalFormatting sqref="D171">
    <cfRule type="containsText" dxfId="62" priority="61" operator="containsText" text="Cleared">
      <formula>NOT(ISERROR(SEARCH("Cleared",D171)))</formula>
    </cfRule>
    <cfRule type="containsText" dxfId="61" priority="62" operator="containsText" text="Partially Paid">
      <formula>NOT(ISERROR(SEARCH("Partially Paid",D171)))</formula>
    </cfRule>
  </conditionalFormatting>
  <conditionalFormatting sqref="D172">
    <cfRule type="containsText" dxfId="60" priority="59" operator="containsText" text="Cleared">
      <formula>NOT(ISERROR(SEARCH("Cleared",D172)))</formula>
    </cfRule>
    <cfRule type="containsText" dxfId="59" priority="60" operator="containsText" text="Partially Paid">
      <formula>NOT(ISERROR(SEARCH("Partially Paid",D172)))</formula>
    </cfRule>
  </conditionalFormatting>
  <conditionalFormatting sqref="D173">
    <cfRule type="containsText" dxfId="58" priority="57" operator="containsText" text="Cleared">
      <formula>NOT(ISERROR(SEARCH("Cleared",D173)))</formula>
    </cfRule>
    <cfRule type="containsText" dxfId="57" priority="58" operator="containsText" text="Partially Paid">
      <formula>NOT(ISERROR(SEARCH("Partially Paid",D173)))</formula>
    </cfRule>
  </conditionalFormatting>
  <conditionalFormatting sqref="D174">
    <cfRule type="containsText" dxfId="56" priority="55" operator="containsText" text="Cleared">
      <formula>NOT(ISERROR(SEARCH("Cleared",D174)))</formula>
    </cfRule>
    <cfRule type="containsText" dxfId="55" priority="56" operator="containsText" text="Partially Paid">
      <formula>NOT(ISERROR(SEARCH("Partially Paid",D174)))</formula>
    </cfRule>
  </conditionalFormatting>
  <conditionalFormatting sqref="D175">
    <cfRule type="containsText" dxfId="54" priority="53" operator="containsText" text="Cleared">
      <formula>NOT(ISERROR(SEARCH("Cleared",D175)))</formula>
    </cfRule>
    <cfRule type="containsText" dxfId="53" priority="54" operator="containsText" text="Partially Paid">
      <formula>NOT(ISERROR(SEARCH("Partially Paid",D175)))</formula>
    </cfRule>
  </conditionalFormatting>
  <conditionalFormatting sqref="D176">
    <cfRule type="containsText" dxfId="52" priority="51" operator="containsText" text="Cleared">
      <formula>NOT(ISERROR(SEARCH("Cleared",D176)))</formula>
    </cfRule>
    <cfRule type="containsText" dxfId="51" priority="52" operator="containsText" text="Partially Paid">
      <formula>NOT(ISERROR(SEARCH("Partially Paid",D176)))</formula>
    </cfRule>
  </conditionalFormatting>
  <conditionalFormatting sqref="D177">
    <cfRule type="containsText" dxfId="50" priority="49" operator="containsText" text="Cleared">
      <formula>NOT(ISERROR(SEARCH("Cleared",D177)))</formula>
    </cfRule>
    <cfRule type="containsText" dxfId="49" priority="50" operator="containsText" text="Partially Paid">
      <formula>NOT(ISERROR(SEARCH("Partially Paid",D177)))</formula>
    </cfRule>
  </conditionalFormatting>
  <conditionalFormatting sqref="D178">
    <cfRule type="containsText" dxfId="48" priority="47" operator="containsText" text="Cleared">
      <formula>NOT(ISERROR(SEARCH("Cleared",D178)))</formula>
    </cfRule>
    <cfRule type="containsText" dxfId="47" priority="48" operator="containsText" text="Partially Paid">
      <formula>NOT(ISERROR(SEARCH("Partially Paid",D178)))</formula>
    </cfRule>
  </conditionalFormatting>
  <conditionalFormatting sqref="D179">
    <cfRule type="containsText" dxfId="46" priority="45" operator="containsText" text="Cleared">
      <formula>NOT(ISERROR(SEARCH("Cleared",D179)))</formula>
    </cfRule>
    <cfRule type="containsText" dxfId="45" priority="46" operator="containsText" text="Partially Paid">
      <formula>NOT(ISERROR(SEARCH("Partially Paid",D179)))</formula>
    </cfRule>
  </conditionalFormatting>
  <conditionalFormatting sqref="D180">
    <cfRule type="containsText" dxfId="44" priority="43" operator="containsText" text="Cleared">
      <formula>NOT(ISERROR(SEARCH("Cleared",D180)))</formula>
    </cfRule>
    <cfRule type="containsText" dxfId="43" priority="44" operator="containsText" text="Partially Paid">
      <formula>NOT(ISERROR(SEARCH("Partially Paid",D180)))</formula>
    </cfRule>
  </conditionalFormatting>
  <conditionalFormatting sqref="D181">
    <cfRule type="containsText" dxfId="42" priority="41" operator="containsText" text="Cleared">
      <formula>NOT(ISERROR(SEARCH("Cleared",D181)))</formula>
    </cfRule>
    <cfRule type="containsText" dxfId="41" priority="42" operator="containsText" text="Partially Paid">
      <formula>NOT(ISERROR(SEARCH("Partially Paid",D181)))</formula>
    </cfRule>
  </conditionalFormatting>
  <conditionalFormatting sqref="D182">
    <cfRule type="containsText" dxfId="40" priority="39" operator="containsText" text="Cleared">
      <formula>NOT(ISERROR(SEARCH("Cleared",D182)))</formula>
    </cfRule>
    <cfRule type="containsText" dxfId="39" priority="40" operator="containsText" text="Partially Paid">
      <formula>NOT(ISERROR(SEARCH("Partially Paid",D182)))</formula>
    </cfRule>
  </conditionalFormatting>
  <conditionalFormatting sqref="D183">
    <cfRule type="containsText" dxfId="38" priority="37" operator="containsText" text="Cleared">
      <formula>NOT(ISERROR(SEARCH("Cleared",D183)))</formula>
    </cfRule>
    <cfRule type="containsText" dxfId="37" priority="38" operator="containsText" text="Partially Paid">
      <formula>NOT(ISERROR(SEARCH("Partially Paid",D183)))</formula>
    </cfRule>
  </conditionalFormatting>
  <conditionalFormatting sqref="D184">
    <cfRule type="containsText" dxfId="36" priority="35" operator="containsText" text="Cleared">
      <formula>NOT(ISERROR(SEARCH("Cleared",D184)))</formula>
    </cfRule>
    <cfRule type="containsText" dxfId="35" priority="36" operator="containsText" text="Partially Paid">
      <formula>NOT(ISERROR(SEARCH("Partially Paid",D184)))</formula>
    </cfRule>
  </conditionalFormatting>
  <conditionalFormatting sqref="D185">
    <cfRule type="containsText" dxfId="34" priority="33" operator="containsText" text="Cleared">
      <formula>NOT(ISERROR(SEARCH("Cleared",D185)))</formula>
    </cfRule>
    <cfRule type="containsText" dxfId="33" priority="34" operator="containsText" text="Partially Paid">
      <formula>NOT(ISERROR(SEARCH("Partially Paid",D185)))</formula>
    </cfRule>
  </conditionalFormatting>
  <conditionalFormatting sqref="D186">
    <cfRule type="containsText" dxfId="32" priority="31" operator="containsText" text="Cleared">
      <formula>NOT(ISERROR(SEARCH("Cleared",D186)))</formula>
    </cfRule>
    <cfRule type="containsText" dxfId="31" priority="32" operator="containsText" text="Partially Paid">
      <formula>NOT(ISERROR(SEARCH("Partially Paid",D186)))</formula>
    </cfRule>
  </conditionalFormatting>
  <conditionalFormatting sqref="D187">
    <cfRule type="containsText" dxfId="30" priority="29" operator="containsText" text="Cleared">
      <formula>NOT(ISERROR(SEARCH("Cleared",D187)))</formula>
    </cfRule>
    <cfRule type="containsText" dxfId="29" priority="30" operator="containsText" text="Partially Paid">
      <formula>NOT(ISERROR(SEARCH("Partially Paid",D187)))</formula>
    </cfRule>
  </conditionalFormatting>
  <conditionalFormatting sqref="D188">
    <cfRule type="containsText" dxfId="28" priority="27" operator="containsText" text="Cleared">
      <formula>NOT(ISERROR(SEARCH("Cleared",D188)))</formula>
    </cfRule>
    <cfRule type="containsText" dxfId="27" priority="28" operator="containsText" text="Partially Paid">
      <formula>NOT(ISERROR(SEARCH("Partially Paid",D188)))</formula>
    </cfRule>
  </conditionalFormatting>
  <conditionalFormatting sqref="D189">
    <cfRule type="containsText" dxfId="26" priority="25" operator="containsText" text="Cleared">
      <formula>NOT(ISERROR(SEARCH("Cleared",D189)))</formula>
    </cfRule>
    <cfRule type="containsText" dxfId="25" priority="26" operator="containsText" text="Partially Paid">
      <formula>NOT(ISERROR(SEARCH("Partially Paid",D189)))</formula>
    </cfRule>
  </conditionalFormatting>
  <conditionalFormatting sqref="D248">
    <cfRule type="containsText" dxfId="24" priority="23" operator="containsText" text="Cleared">
      <formula>NOT(ISERROR(SEARCH("Cleared",D248)))</formula>
    </cfRule>
    <cfRule type="containsText" dxfId="23" priority="24" operator="containsText" text="Partially Paid">
      <formula>NOT(ISERROR(SEARCH("Partially Paid",D248)))</formula>
    </cfRule>
  </conditionalFormatting>
  <conditionalFormatting sqref="D249">
    <cfRule type="containsText" dxfId="22" priority="21" operator="containsText" text="Cleared">
      <formula>NOT(ISERROR(SEARCH("Cleared",D249)))</formula>
    </cfRule>
    <cfRule type="containsText" dxfId="21" priority="22" operator="containsText" text="Partially Paid">
      <formula>NOT(ISERROR(SEARCH("Partially Paid",D249)))</formula>
    </cfRule>
  </conditionalFormatting>
  <conditionalFormatting sqref="D190">
    <cfRule type="containsText" dxfId="20" priority="19" operator="containsText" text="Cleared">
      <formula>NOT(ISERROR(SEARCH("Cleared",D190)))</formula>
    </cfRule>
    <cfRule type="containsText" dxfId="19" priority="20" operator="containsText" text="Partially Paid">
      <formula>NOT(ISERROR(SEARCH("Partially Paid",D190)))</formula>
    </cfRule>
  </conditionalFormatting>
  <conditionalFormatting sqref="D192">
    <cfRule type="containsText" dxfId="18" priority="17" operator="containsText" text="Cleared">
      <formula>NOT(ISERROR(SEARCH("Cleared",D192)))</formula>
    </cfRule>
    <cfRule type="containsText" dxfId="17" priority="18" operator="containsText" text="Partially Paid">
      <formula>NOT(ISERROR(SEARCH("Partially Paid",D192)))</formula>
    </cfRule>
  </conditionalFormatting>
  <conditionalFormatting sqref="D193">
    <cfRule type="containsText" dxfId="16" priority="15" operator="containsText" text="Cleared">
      <formula>NOT(ISERROR(SEARCH("Cleared",D193)))</formula>
    </cfRule>
    <cfRule type="containsText" dxfId="15" priority="16" operator="containsText" text="Partially Paid">
      <formula>NOT(ISERROR(SEARCH("Partially Paid",D193)))</formula>
    </cfRule>
  </conditionalFormatting>
  <conditionalFormatting sqref="D194">
    <cfRule type="containsText" dxfId="14" priority="13" operator="containsText" text="Cleared">
      <formula>NOT(ISERROR(SEARCH("Cleared",D194)))</formula>
    </cfRule>
    <cfRule type="containsText" dxfId="13" priority="14" operator="containsText" text="Partially Paid">
      <formula>NOT(ISERROR(SEARCH("Partially Paid",D194)))</formula>
    </cfRule>
  </conditionalFormatting>
  <conditionalFormatting sqref="D195">
    <cfRule type="containsText" dxfId="12" priority="11" operator="containsText" text="Cleared">
      <formula>NOT(ISERROR(SEARCH("Cleared",D195)))</formula>
    </cfRule>
    <cfRule type="containsText" dxfId="11" priority="12" operator="containsText" text="Partially Paid">
      <formula>NOT(ISERROR(SEARCH("Partially Paid",D195)))</formula>
    </cfRule>
  </conditionalFormatting>
  <conditionalFormatting sqref="D196">
    <cfRule type="containsText" dxfId="10" priority="9" operator="containsText" text="Cleared">
      <formula>NOT(ISERROR(SEARCH("Cleared",D196)))</formula>
    </cfRule>
    <cfRule type="containsText" dxfId="9" priority="10" operator="containsText" text="Partially Paid">
      <formula>NOT(ISERROR(SEARCH("Partially Paid",D196)))</formula>
    </cfRule>
  </conditionalFormatting>
  <conditionalFormatting sqref="D197">
    <cfRule type="containsText" dxfId="8" priority="7" operator="containsText" text="Cleared">
      <formula>NOT(ISERROR(SEARCH("Cleared",D197)))</formula>
    </cfRule>
    <cfRule type="containsText" dxfId="7" priority="8" operator="containsText" text="Partially Paid">
      <formula>NOT(ISERROR(SEARCH("Partially Paid",D197)))</formula>
    </cfRule>
  </conditionalFormatting>
  <conditionalFormatting sqref="D199">
    <cfRule type="containsText" dxfId="6" priority="1" operator="containsText" text="Cleared">
      <formula>NOT(ISERROR(SEARCH("Cleared",D199)))</formula>
    </cfRule>
    <cfRule type="containsText" dxfId="5" priority="2" operator="containsText" text="Partially Paid">
      <formula>NOT(ISERROR(SEARCH("Partially Paid",D199)))</formula>
    </cfRule>
  </conditionalFormatting>
  <conditionalFormatting sqref="D198">
    <cfRule type="containsText" dxfId="4" priority="5" operator="containsText" text="Cleared">
      <formula>NOT(ISERROR(SEARCH("Cleared",D198)))</formula>
    </cfRule>
    <cfRule type="containsText" dxfId="3" priority="6" operator="containsText" text="Partially Paid">
      <formula>NOT(ISERROR(SEARCH("Partially Paid",D198)))</formula>
    </cfRule>
  </conditionalFormatting>
  <pageMargins left="0.7" right="0.7" top="0.75" bottom="0.75" header="0.3" footer="0.3"/>
  <pageSetup scale="55" orientation="landscape" r:id="rId1"/>
  <ignoredErrors>
    <ignoredError sqref="H3:H41 H43:H55 H66:H71 H73:H79 H84:H91 H236:H240 H241:H243 H80:H82 H56:H60 H62:H64 H92:H108 H109:H113 H114:H115 H116:H160 H161:H162 H163:H189 H244:H247 H248:H249 H190:H198 H208:H213 H214:H220 H199:H207 H221:H22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9" operator="containsText" text="partially paid" id="{F414413A-B8F5-4C23-A57E-428FD0CB8AED}">
            <xm:f>NOT(ISERROR(SEARCH("partially paid",'Dec 25'!D2)))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</xm:sqref>
        </x14:conditionalFormatting>
        <x14:conditionalFormatting xmlns:xm="http://schemas.microsoft.com/office/excel/2006/main">
          <x14:cfRule type="containsText" priority="126" operator="containsText" text="partially paid" id="{6042052E-F9C5-4405-92B8-CDEDCF938418}">
            <xm:f>NOT(ISERROR(SEARCH("partially paid",'Dec 25'!#REF!)))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D235</xm:sqref>
        </x14:conditionalFormatting>
        <x14:conditionalFormatting xmlns:xm="http://schemas.microsoft.com/office/excel/2006/main">
          <x14:cfRule type="containsText" priority="123" operator="containsText" text="partially paid" id="{22B49AFE-BD01-41C5-96BC-A0BCA1CD89BD}">
            <xm:f>NOT(ISERROR(SEARCH("partially paid",'Dec 25'!#REF!)))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E262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Dec 25</vt:lpstr>
      <vt:lpstr>Jan 26</vt:lpstr>
      <vt:lpstr>'Dec 25'!Print_Area</vt:lpstr>
      <vt:lpstr>'Jan 26'!Print_Area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cp:lastPrinted>2026-01-05T12:32:31Z</cp:lastPrinted>
  <dcterms:created xsi:type="dcterms:W3CDTF">2025-12-30T11:18:54Z</dcterms:created>
  <dcterms:modified xsi:type="dcterms:W3CDTF">2026-01-27T13:28:33Z</dcterms:modified>
</cp:coreProperties>
</file>